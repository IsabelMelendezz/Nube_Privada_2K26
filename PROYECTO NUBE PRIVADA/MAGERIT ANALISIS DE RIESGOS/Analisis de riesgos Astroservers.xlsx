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en\OneDrive\Escritorio\7MO SEMESTRE\SO2\"/>
    </mc:Choice>
  </mc:AlternateContent>
  <bookViews>
    <workbookView xWindow="0" yWindow="0" windowWidth="20430" windowHeight="7080" firstSheet="1" activeTab="3"/>
  </bookViews>
  <sheets>
    <sheet name="CATALOGO DE ACTIVOS" sheetId="1" r:id="rId1"/>
    <sheet name="AMENAZAS" sheetId="2" r:id="rId2"/>
    <sheet name="HOJA CALCULO RIESGOS" sheetId="3" r:id="rId3"/>
    <sheet name="ENUNCIADO DE APLICABILIDAD" sheetId="4" r:id="rId4"/>
  </sheets>
  <calcPr calcId="162913"/>
</workbook>
</file>

<file path=xl/calcChain.xml><?xml version="1.0" encoding="utf-8"?>
<calcChain xmlns="http://schemas.openxmlformats.org/spreadsheetml/2006/main">
  <c r="O9" i="3" l="1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8" i="3"/>
</calcChain>
</file>

<file path=xl/sharedStrings.xml><?xml version="1.0" encoding="utf-8"?>
<sst xmlns="http://schemas.openxmlformats.org/spreadsheetml/2006/main" count="1275" uniqueCount="693">
  <si>
    <t>VALOR PROPIO</t>
  </si>
  <si>
    <t>NRO</t>
  </si>
  <si>
    <t>CÓDIGO</t>
  </si>
  <si>
    <t>NOMBRE DEL ACTIVO</t>
  </si>
  <si>
    <t>CANTIDAD</t>
  </si>
  <si>
    <t>D</t>
  </si>
  <si>
    <t>I</t>
  </si>
  <si>
    <t>C</t>
  </si>
  <si>
    <t>VALOR ACUMULADO</t>
  </si>
  <si>
    <t xml:space="preserve">  DIRECCIÓN GENERAL</t>
  </si>
  <si>
    <t>S-DG-001</t>
  </si>
  <si>
    <t>Servicio de Gestión Ejecutiva (Dirección General)</t>
  </si>
  <si>
    <t>DI-DG-001</t>
  </si>
  <si>
    <t>Clave de usuario (Director General)</t>
  </si>
  <si>
    <t>DI-DG-002</t>
  </si>
  <si>
    <t>Cuenta de usuario (Director General)</t>
  </si>
  <si>
    <t>-</t>
  </si>
  <si>
    <t>DI-DG-003</t>
  </si>
  <si>
    <t>Documentos estratégicos y planes corporativos</t>
  </si>
  <si>
    <t>DI-DG-004</t>
  </si>
  <si>
    <t>Clave de usuario (Asistente de Dirección)</t>
  </si>
  <si>
    <t>DI-DG-005</t>
  </si>
  <si>
    <t>Cuenta de usuario (Asistente de Dirección)</t>
  </si>
  <si>
    <t>HW-DG-001</t>
  </si>
  <si>
    <t>Computadora (Director General)</t>
  </si>
  <si>
    <t>HW-DG-002</t>
  </si>
  <si>
    <t>Computadora (Asistente de Dirección)</t>
  </si>
  <si>
    <t>HW-DG-003</t>
  </si>
  <si>
    <t>Impresora (Dirección General)</t>
  </si>
  <si>
    <t>R-DG-001</t>
  </si>
  <si>
    <t>Rack Red (Dirección General)</t>
  </si>
  <si>
    <t>INS-DG-001</t>
  </si>
  <si>
    <t>Área de Dirección General</t>
  </si>
  <si>
    <t>PERS-DG-001</t>
  </si>
  <si>
    <t>Director General</t>
  </si>
  <si>
    <t>PERS-DG-002</t>
  </si>
  <si>
    <t>Asistente de Dirección</t>
  </si>
  <si>
    <t xml:space="preserve">  INFRAESTRUCTURA &amp; DEVOPS</t>
  </si>
  <si>
    <t>S-ID-001</t>
  </si>
  <si>
    <t>Servicio de Infraestructura y DevOps</t>
  </si>
  <si>
    <t>DI-ID-001</t>
  </si>
  <si>
    <t>Clave de usuario (Gerente de Infraestructura)</t>
  </si>
  <si>
    <t>DI-ID-002</t>
  </si>
  <si>
    <t>Cuenta de usuario (Gerente de Infraestructura)</t>
  </si>
  <si>
    <t>DI-ID-003</t>
  </si>
  <si>
    <t>Clave de usuario (Ingeniero de Redes Senior)</t>
  </si>
  <si>
    <t>DI-ID-004</t>
  </si>
  <si>
    <t>Cuenta de usuario (Ingeniero de Redes Senior)</t>
  </si>
  <si>
    <t>DI-ID-005</t>
  </si>
  <si>
    <t>Clave de usuario (Técnico de Infraestructura)</t>
  </si>
  <si>
    <t>DI-ID-006</t>
  </si>
  <si>
    <t>Cuenta de usuario (Técnico de Infraestructura)</t>
  </si>
  <si>
    <t>DI-ID-007</t>
  </si>
  <si>
    <t>Configuraciones de red LAN/WAN y VPN</t>
  </si>
  <si>
    <t>DI-ID-008</t>
  </si>
  <si>
    <t>Credenciales de acceso a Webmin y administración</t>
  </si>
  <si>
    <t>HW-ID-001</t>
  </si>
  <si>
    <t>Servidor Bastión (Firewall/Bastión Ubuntu Server)</t>
  </si>
  <si>
    <t>HW-ID-002</t>
  </si>
  <si>
    <t>Servidor Interno (Red Interna — MySQL Master)</t>
  </si>
  <si>
    <t>HW-ID-003</t>
  </si>
  <si>
    <t>Servidor DMZ (MySQL Slave + Nginx + Apache2)</t>
  </si>
  <si>
    <t>HW-ID-004</t>
  </si>
  <si>
    <t>Switch Core (Red LAN Interna)</t>
  </si>
  <si>
    <t>HW-ID-005</t>
  </si>
  <si>
    <t>Computadora (Gerente de Infraestructura)</t>
  </si>
  <si>
    <t>HW-ID-006</t>
  </si>
  <si>
    <t>Computadora (Ingenieros de Redes)</t>
  </si>
  <si>
    <t>HW-ID-007</t>
  </si>
  <si>
    <t>Impresoras (Área de Infraestructura)</t>
  </si>
  <si>
    <t>R-ID-001</t>
  </si>
  <si>
    <t>Rack Red Interna — Infraestructura Principal</t>
  </si>
  <si>
    <t>R-ID-002</t>
  </si>
  <si>
    <t>Rack DMZ — Servidor Web y Correo</t>
  </si>
  <si>
    <t>INS-ID-001</t>
  </si>
  <si>
    <t>Sala de Servidores / Data Center AstroServers</t>
  </si>
  <si>
    <t>INS-ID-002</t>
  </si>
  <si>
    <t>Área de Infraestructura y DevOps</t>
  </si>
  <si>
    <t>PERS-ID-001</t>
  </si>
  <si>
    <t>Gerente de Infraestructura</t>
  </si>
  <si>
    <t>PERS-ID-002</t>
  </si>
  <si>
    <t>Ingeniero de Redes Senior</t>
  </si>
  <si>
    <t>PERS-ID-003</t>
  </si>
  <si>
    <t>Técnico de Infraestructura</t>
  </si>
  <si>
    <t xml:space="preserve">  DESARROLLO DE SOFTWARE</t>
  </si>
  <si>
    <t>S-DS-001</t>
  </si>
  <si>
    <t>Servicio de Desarrollo de Software y Aplicaciones</t>
  </si>
  <si>
    <t>DI-DS-001</t>
  </si>
  <si>
    <t>Clave de usuario (Líder de Desarrollo)</t>
  </si>
  <si>
    <t>DI-DS-002</t>
  </si>
  <si>
    <t>Cuenta de usuario (Líder de Desarrollo)</t>
  </si>
  <si>
    <t>DI-DS-003</t>
  </si>
  <si>
    <t>Clave de usuario (Desarrollador Full Stack)</t>
  </si>
  <si>
    <t>DI-DS-004</t>
  </si>
  <si>
    <t>Cuenta de usuario (Desarrollador Full Stack)</t>
  </si>
  <si>
    <t>DI-DS-005</t>
  </si>
  <si>
    <t>Repositorios de código fuente (Base de datos umg_didactica)</t>
  </si>
  <si>
    <t>DI-DS-006</t>
  </si>
  <si>
    <t>Prototipo ODBC — Conexión a MySQL (umg_didactica)</t>
  </si>
  <si>
    <t>HW-DS-001</t>
  </si>
  <si>
    <t>Computadora de alto rendimiento (Desarrolladores)</t>
  </si>
  <si>
    <t>HW-DS-002</t>
  </si>
  <si>
    <t>Servidor de desarrollo/staging</t>
  </si>
  <si>
    <t>R-DS-001</t>
  </si>
  <si>
    <t>Rack Red Interna (Área de Desarrollo)</t>
  </si>
  <si>
    <t>INS-DS-001</t>
  </si>
  <si>
    <t>Área de Desarrollo de Software</t>
  </si>
  <si>
    <t>PERS-DS-001</t>
  </si>
  <si>
    <t>Líder de Desarrollo</t>
  </si>
  <si>
    <t>PERS-DS-002</t>
  </si>
  <si>
    <t>Desarrollador Full Stack</t>
  </si>
  <si>
    <t xml:space="preserve">  SEGURIDAD INFORMÁTICA</t>
  </si>
  <si>
    <t>S-SI-001</t>
  </si>
  <si>
    <t>Servicio de Seguridad Informática y Monitoreo</t>
  </si>
  <si>
    <t>DI-SI-001</t>
  </si>
  <si>
    <t>Clave de usuario (Analista de Seguridad)</t>
  </si>
  <si>
    <t>DI-SI-002</t>
  </si>
  <si>
    <t>Cuenta de usuario (Analista de Seguridad)</t>
  </si>
  <si>
    <t>DI-SI-003</t>
  </si>
  <si>
    <t>Reglas iptables y políticas de Firewall (fwinternet.sh)</t>
  </si>
  <si>
    <t>DI-SI-004</t>
  </si>
  <si>
    <t>Políticas de seguridad y planes de respuesta</t>
  </si>
  <si>
    <t>SW-SI-001</t>
  </si>
  <si>
    <t>Webmin — Panel de administración web (Puerto 10000)</t>
  </si>
  <si>
    <t>SW-SI-002</t>
  </si>
  <si>
    <t>Squid Proxy Transparente (Puertos 3129/3130)</t>
  </si>
  <si>
    <t>SW-SI-003</t>
  </si>
  <si>
    <t>VPN — Acceso remoto seguro</t>
  </si>
  <si>
    <t>HW-SI-001</t>
  </si>
  <si>
    <t>Servidor Bastión — Firewall/Bastión</t>
  </si>
  <si>
    <t>HW-SI-002</t>
  </si>
  <si>
    <t>Computadora (Analista de Seguridad)</t>
  </si>
  <si>
    <t>R-SI-001</t>
  </si>
  <si>
    <t>Rack Red — Área de Seguridad</t>
  </si>
  <si>
    <t>INS-SI-001</t>
  </si>
  <si>
    <t>Área de Seguridad Informática</t>
  </si>
  <si>
    <t>PERS-SI-001</t>
  </si>
  <si>
    <t>Analista de Seguridad Informática</t>
  </si>
  <si>
    <t xml:space="preserve">  NOC 24/7 — SOPORTE TÉCNICO</t>
  </si>
  <si>
    <t>S-NOC-001</t>
  </si>
  <si>
    <t>Servicio NOC 24/7 — Monitoreo y Soporte</t>
  </si>
  <si>
    <t>DI-NOC-001</t>
  </si>
  <si>
    <t>Clave de usuario (Coordinador NOC)</t>
  </si>
  <si>
    <t>DI-NOC-002</t>
  </si>
  <si>
    <t>Cuenta de usuario (Coordinador NOC)</t>
  </si>
  <si>
    <t>DI-NOC-003</t>
  </si>
  <si>
    <t>Registros de monitoreo e incidentes (Logs iptables)</t>
  </si>
  <si>
    <t>SW-NOC-001</t>
  </si>
  <si>
    <t>Sistema de alertas y monitoreo de servicios</t>
  </si>
  <si>
    <t>HW-NOC-001</t>
  </si>
  <si>
    <t>Computadora (Coordinador NOC)</t>
  </si>
  <si>
    <t>INS-NOC-001</t>
  </si>
  <si>
    <t>Área de NOC y Soporte</t>
  </si>
  <si>
    <t>PERS-NOC-001</t>
  </si>
  <si>
    <t>Coordinador NOC</t>
  </si>
  <si>
    <t>PERS-NOC-002</t>
  </si>
  <si>
    <t>Técnico de Soporte</t>
  </si>
  <si>
    <t xml:space="preserve">  SERVICIOS WEB Y CORREO ELECTRÓNICO</t>
  </si>
  <si>
    <t>S-WC-001</t>
  </si>
  <si>
    <t>Servicio Web — Nginx + Página Corporativa AstroServers</t>
  </si>
  <si>
    <t>S-WC-002</t>
  </si>
  <si>
    <t>Servicio de Correo Electrónico (Apache2 + SquirrelMail)</t>
  </si>
  <si>
    <t>DI-WC-001</t>
  </si>
  <si>
    <t>Certificados SSL/TLS — Dominio astroservers.gt</t>
  </si>
  <si>
    <t>DI-WC-002</t>
  </si>
  <si>
    <t>Base de datos MySQL — umg_didactica (Replicación Bidirecional)</t>
  </si>
  <si>
    <t>DI-WC-003</t>
  </si>
  <si>
    <t>Configuración Nginx (nginx-astroservers.conf)</t>
  </si>
  <si>
    <t>SW-WC-001</t>
  </si>
  <si>
    <t>Nginx (Servidor Web — Puerto 80)</t>
  </si>
  <si>
    <t>SW-WC-002</t>
  </si>
  <si>
    <t>Apache2 (Servidor Correo — Puerto 8080)</t>
  </si>
  <si>
    <t>SW-WC-003</t>
  </si>
  <si>
    <t>SquirrelMail — Cliente Webmail</t>
  </si>
  <si>
    <t>SW-WC-004</t>
  </si>
  <si>
    <t>MySQL Server — Replicación Master/Slave Bidireccional</t>
  </si>
  <si>
    <t>HW-WC-001</t>
  </si>
  <si>
    <t>Servidor DMZ (20.10.10.26) — Web + Correo + MySQL Slave</t>
  </si>
  <si>
    <t>HW-WC-002</t>
  </si>
  <si>
    <t>Servidor Interno (10.10.10.26) — MySQL Master</t>
  </si>
  <si>
    <t>R-WC-001</t>
  </si>
  <si>
    <t>Rack DMZ — Servicios Web y Correo</t>
  </si>
  <si>
    <t>INS-WC-001</t>
  </si>
  <si>
    <t>Zona DMZ — Servicios Públicos</t>
  </si>
  <si>
    <t>PERS-WC-001</t>
  </si>
  <si>
    <t>Administrador de Servicios Web</t>
  </si>
  <si>
    <t xml:space="preserve">  ADMINISTRACIÓN Y FINANZAS</t>
  </si>
  <si>
    <t>S-AF-001</t>
  </si>
  <si>
    <t>Servicio de Administración y Gestión Financiera</t>
  </si>
  <si>
    <t>DI-AF-001</t>
  </si>
  <si>
    <t>Clave de usuario (Director Administrativo y Financiero)</t>
  </si>
  <si>
    <t>DI-AF-002</t>
  </si>
  <si>
    <t>Cuenta de usuario (Director Administrativo)</t>
  </si>
  <si>
    <t>DI-AF-003</t>
  </si>
  <si>
    <t>Clave de usuario (Contador / Analista Financiero)</t>
  </si>
  <si>
    <t>DI-AF-004</t>
  </si>
  <si>
    <t>Cuenta de usuario (Contador / Analista Financiero)</t>
  </si>
  <si>
    <t>DI-AF-005</t>
  </si>
  <si>
    <t>Base de datos de clientes corporativos</t>
  </si>
  <si>
    <t>DI-AF-006</t>
  </si>
  <si>
    <t>Información financiera y reportes contables</t>
  </si>
  <si>
    <t>DI-AF-007</t>
  </si>
  <si>
    <t>Contratos y documentos legales</t>
  </si>
  <si>
    <t>HW-AF-001</t>
  </si>
  <si>
    <t>Computadora (Director Administrativo)</t>
  </si>
  <si>
    <t>HW-AF-002</t>
  </si>
  <si>
    <t>Computadora (Contadores / Analistas)</t>
  </si>
  <si>
    <t>HW-AF-003</t>
  </si>
  <si>
    <t>Impresoras (Administración y Finanzas)</t>
  </si>
  <si>
    <t>R-AF-001</t>
  </si>
  <si>
    <t>Rack Red (Administración y Finanzas)</t>
  </si>
  <si>
    <t>INS-AF-001</t>
  </si>
  <si>
    <t>Área de Administración y Finanzas</t>
  </si>
  <si>
    <t>PERS-AF-001</t>
  </si>
  <si>
    <t>Director Administrativo y Financiero</t>
  </si>
  <si>
    <t>PERS-AF-002</t>
  </si>
  <si>
    <t>Contador / Analista Financiero</t>
  </si>
  <si>
    <t>D=Disponibilidad   I=Integridad   C=Confidencialidad   X = Amenaza aplicable al tipo de activo</t>
  </si>
  <si>
    <t>ORIGEN</t>
  </si>
  <si>
    <t>DESCRIPCIÓN DE LA AMENAZA</t>
  </si>
  <si>
    <t>SERVICIOS</t>
  </si>
  <si>
    <t>DATOS / INFORMACIÓN</t>
  </si>
  <si>
    <t>APLICACIONES / SW</t>
  </si>
  <si>
    <t>EQUIPOS INFORMÁTICOS</t>
  </si>
  <si>
    <t>SOPORTES DE INFORMACIÓN</t>
  </si>
  <si>
    <t>EQUIPAMIENTO AUXILIAR</t>
  </si>
  <si>
    <t>INSTALACIONES</t>
  </si>
  <si>
    <t>PERSONAL</t>
  </si>
  <si>
    <t>NATURAL</t>
  </si>
  <si>
    <t>N-001</t>
  </si>
  <si>
    <t>DESASTRES NATURALES (TERREMOTO, TORNADO)</t>
  </si>
  <si>
    <t>X</t>
  </si>
  <si>
    <t>N-002</t>
  </si>
  <si>
    <t>FUEGO O INCENDIO</t>
  </si>
  <si>
    <t>N-003</t>
  </si>
  <si>
    <t>DAÑO POR AGUA / INUNDACIÓN</t>
  </si>
  <si>
    <t>INDUSTRIAL</t>
  </si>
  <si>
    <t>I-001</t>
  </si>
  <si>
    <t>AVERÍA DE ORIGEN FÍSICO O LÓGICO</t>
  </si>
  <si>
    <t>I-002</t>
  </si>
  <si>
    <t>CORTE DE SUMINISTRO ELÉCTRICO</t>
  </si>
  <si>
    <t>I-003</t>
  </si>
  <si>
    <t>FUEGO O INCENDIO (INDUSTRIAL)</t>
  </si>
  <si>
    <t>I-004</t>
  </si>
  <si>
    <t>DEGRADACIÓN DEL ALMACENAMIENTO</t>
  </si>
  <si>
    <t>I-005</t>
  </si>
  <si>
    <t>CONTAMINACIÓN MECÁNICA / POLVO</t>
  </si>
  <si>
    <t>I-006</t>
  </si>
  <si>
    <t>EMANACIONES ELECTROMAGNÉTICAS</t>
  </si>
  <si>
    <t>I-007</t>
  </si>
  <si>
    <t>CONDICIONES INADECUADAS TEMP./HUMEDAD</t>
  </si>
  <si>
    <t>I-008</t>
  </si>
  <si>
    <t>CONTAMINACIÓN ELECTROMAGNÉTICA</t>
  </si>
  <si>
    <t>ERRORES</t>
  </si>
  <si>
    <t>E-01</t>
  </si>
  <si>
    <t>ERRORES DE MONITOREO (WEBMIN/LOGS)</t>
  </si>
  <si>
    <t>E-02</t>
  </si>
  <si>
    <t>DESTRUCCIÓN DE LA INFORMACIÓN</t>
  </si>
  <si>
    <t>E-03</t>
  </si>
  <si>
    <t>ERRORES MANTENIMIENTO/ACTUALIZACIÓN SOFTWARE</t>
  </si>
  <si>
    <t>E-04</t>
  </si>
  <si>
    <t>ALTERACIÓN DE LA INFORMACIÓN</t>
  </si>
  <si>
    <t>E-05</t>
  </si>
  <si>
    <t>CAÍDA DEL SISTEMA (AGOTAMIENTO RECURSOS)</t>
  </si>
  <si>
    <t>E-06</t>
  </si>
  <si>
    <t>DIVULGACIÓN DE INFORMACIÓN SENSIBLE</t>
  </si>
  <si>
    <t>E-07</t>
  </si>
  <si>
    <t>DEGRADACIÓN DE LA INFORMACIÓN</t>
  </si>
  <si>
    <t>E-08</t>
  </si>
  <si>
    <t>VULNERABILIDADES EN PROGRAMAS/APPS</t>
  </si>
  <si>
    <t>E-09</t>
  </si>
  <si>
    <t>INTRODUCCIÓN DE INFORMACIÓN INCORRECTA</t>
  </si>
  <si>
    <t>E-10</t>
  </si>
  <si>
    <t>ERRORES DE LOS USUARIOS</t>
  </si>
  <si>
    <t>E-11</t>
  </si>
  <si>
    <t>ERRORES MANTENIMIENTO/ACTUALIZACIÓN EQUIPOS</t>
  </si>
  <si>
    <t>E-12</t>
  </si>
  <si>
    <t>ERRORES DE ENCAMINAMIENTO (RED — iptables)</t>
  </si>
  <si>
    <t>E-13</t>
  </si>
  <si>
    <t>INDISPONIBILIDAD DEL PERSONAL</t>
  </si>
  <si>
    <t>E-14</t>
  </si>
  <si>
    <t>ERRORES DEL ADMINISTRADOR DE SISTEMAS</t>
  </si>
  <si>
    <t>E-15</t>
  </si>
  <si>
    <t>ERRORES DE SECUENCIA / CONFIGURACIÓN (iptables)</t>
  </si>
  <si>
    <t>E-16</t>
  </si>
  <si>
    <t>DIFUSIÓN DE SOFTWARE DAÑINO (MALWARE)</t>
  </si>
  <si>
    <t>E-17</t>
  </si>
  <si>
    <t>FUGA DE INFORMACIÓN CONFIDENCIAL</t>
  </si>
  <si>
    <t>E-18</t>
  </si>
  <si>
    <t>ERRORES DE CONFIGURACIÓN DE SEGURIDAD</t>
  </si>
  <si>
    <t>E-19</t>
  </si>
  <si>
    <t>DEFICIENCIAS ORGANIZACIONALES</t>
  </si>
  <si>
    <t>ATAQUES</t>
  </si>
  <si>
    <t>A-01</t>
  </si>
  <si>
    <t>USO NO PREVISTO DE RECURSOS</t>
  </si>
  <si>
    <t>A-02</t>
  </si>
  <si>
    <t>MODIFICACIÓN DE LA INFORMACIÓN</t>
  </si>
  <si>
    <t>A-03</t>
  </si>
  <si>
    <t>INTRODUCCIÓN DE INFORMACIÓN MALICIOSA</t>
  </si>
  <si>
    <t>A-04</t>
  </si>
  <si>
    <t>ABUSO DE PRIVILEGIOS DE ACCESO</t>
  </si>
  <si>
    <t>A-05</t>
  </si>
  <si>
    <t>CORRUPCIÓN DE LA INFORMACIÓN</t>
  </si>
  <si>
    <t>A-06</t>
  </si>
  <si>
    <t>INTERCEPTACIÓN DE INFORMACIÓN (SNIFFING)</t>
  </si>
  <si>
    <t>A-07</t>
  </si>
  <si>
    <t>ATAQUE DESTRUCTIVO (DOS/DDOS) — Nginx/MySQL</t>
  </si>
  <si>
    <t>A-08</t>
  </si>
  <si>
    <t>ROBO DE IDENTIDAD / CREDENCIALES</t>
  </si>
  <si>
    <t>A-09</t>
  </si>
  <si>
    <t>A-10</t>
  </si>
  <si>
    <t>ACCESO NO AUTORIZADO</t>
  </si>
  <si>
    <t>A-11</t>
  </si>
  <si>
    <t>OCUPACIÓN ENEMIGA / INTRUSIÓN FÍSICA</t>
  </si>
  <si>
    <t>A-12</t>
  </si>
  <si>
    <t>MANIPULACIÓN DE CONFIGURACIÓN (fwinternet.sh)</t>
  </si>
  <si>
    <t>A-13</t>
  </si>
  <si>
    <t>INDISPONIBILIDAD DEL PERSONAL CLAVE</t>
  </si>
  <si>
    <t>A-14</t>
  </si>
  <si>
    <t>DIVULGACIÓN DE INFORMACIÓN CLASIFICADA</t>
  </si>
  <si>
    <t>A-15</t>
  </si>
  <si>
    <t>EXTORSIÓN A PERSONAL O DIRECTIVOS</t>
  </si>
  <si>
    <t>A-16</t>
  </si>
  <si>
    <t>ALTERACIÓN DE SECUENCIA / DATOS EN TRÁNSITO</t>
  </si>
  <si>
    <t>A-17</t>
  </si>
  <si>
    <t>ROBO DE EQUIPOS O SOPORTES</t>
  </si>
  <si>
    <t>A-18</t>
  </si>
  <si>
    <t>MANIPULACIÓN DE PROGRAMAS (BACKDOOR)</t>
  </si>
  <si>
    <t>A-19</t>
  </si>
  <si>
    <t>DENEGACIÓN DE SERVICIO (DOS/DDOS) — MySQL</t>
  </si>
  <si>
    <t>A-20</t>
  </si>
  <si>
    <t>INGENIERÍA SOCIAL / PHISHING</t>
  </si>
  <si>
    <t>A-21</t>
  </si>
  <si>
    <t>DIFUSIÓN DE SOFTWARE DAÑINO (RANSOMWARE)</t>
  </si>
  <si>
    <t>A-22</t>
  </si>
  <si>
    <t>DESVÍO / INTERCEPCIÓN DE MENSAJES (MitM)</t>
  </si>
  <si>
    <t>A-23</t>
  </si>
  <si>
    <t>ATAQUE DE FUERZA BRUTA (CREDENCIALES SSH/MySQL)</t>
  </si>
  <si>
    <t>A-24</t>
  </si>
  <si>
    <t>EXPLOTACIÓN DE VULNERABILIDADES (CVE — Bastión)</t>
  </si>
  <si>
    <t>HOJA DE CÁLCULO DE RIESGOS — AstroServers (Metodología MAGERIT)</t>
  </si>
  <si>
    <t>No.#</t>
  </si>
  <si>
    <t>Cód. Activo</t>
  </si>
  <si>
    <t>Nombre del Activo</t>
  </si>
  <si>
    <t>Valor Acumulado</t>
  </si>
  <si>
    <t>Dimensión</t>
  </si>
  <si>
    <t>Amenaza (Código - Descripción)</t>
  </si>
  <si>
    <t>Incidente</t>
  </si>
  <si>
    <t>Consecuencia del Incidente</t>
  </si>
  <si>
    <t>Degradación %</t>
  </si>
  <si>
    <t>Probabilidad de Falla</t>
  </si>
  <si>
    <t>Nivel De Riesgo</t>
  </si>
  <si>
    <t>Controles Actuales</t>
  </si>
  <si>
    <t>Nivel Riesgo Gestionado</t>
  </si>
  <si>
    <t>PROBABILIDAD DE GESTIÓN</t>
  </si>
  <si>
    <t>NPR Actual</t>
  </si>
  <si>
    <t>CONTROLES RECOMENDADOS (ISO 27001)</t>
  </si>
  <si>
    <t>PROB. FALLA</t>
  </si>
  <si>
    <t>NPR Estimado</t>
  </si>
  <si>
    <t>Servicio de Gestión Ejecutiva</t>
  </si>
  <si>
    <t>D,I,C</t>
  </si>
  <si>
    <t>E-05 CAÍDA DEL SISTEMA POR AGOTAMIENTO RECURSOS</t>
  </si>
  <si>
    <t>FALLA TOTAL DE SERVICIOS EJECUTIVOS</t>
  </si>
  <si>
    <t>INTERRUPCIÓN DE OPERACIONES CORPORATIVAS</t>
  </si>
  <si>
    <t>50%</t>
  </si>
  <si>
    <t>ALTA</t>
  </si>
  <si>
    <t>NINGUNO</t>
  </si>
  <si>
    <t>A.12.1.3 Gestión de capacidad | A.17.2.1 Redundancias | A.12.3.1 Respaldo</t>
  </si>
  <si>
    <t>A-08 ROBO DE IDENTIDAD / CREDENCIALES</t>
  </si>
  <si>
    <t>ACCESO NO AUTORIZADO A CUENTA DIRECTIVA</t>
  </si>
  <si>
    <t>DIVULGACIÓN DE ESTRATEGIAS CONFIDENCIALES</t>
  </si>
  <si>
    <t>75%</t>
  </si>
  <si>
    <t>BAJA</t>
  </si>
  <si>
    <t>A.9.2.4 Gestión autenticación | A.9.4.2 Ingreso seguro | A.9.4.3 Gestión contraseñas</t>
  </si>
  <si>
    <t>A-10 ACCESO NO AUTORIZADO</t>
  </si>
  <si>
    <t>FILTRACIÓN DE PLANES CORPORATIVOS</t>
  </si>
  <si>
    <t>PÉRDIDA DE VENTAJA COMPETITIVA</t>
  </si>
  <si>
    <t>MEDIA</t>
  </si>
  <si>
    <t>A.9.1.1 Control de acceso | A.9.2.1 Registro usuarios | A.9.4.2 Ingreso seguro</t>
  </si>
  <si>
    <t>Servidor Bastión (Firewall/Ubuntu Server)</t>
  </si>
  <si>
    <t>A-24 EXPLOTACIÓN DE VULNERABILIDADES (CVE)</t>
  </si>
  <si>
    <t>COMPROMISO DEL FIREWALL PRINCIPAL</t>
  </si>
  <si>
    <t>ACCESO IRRESTRICTO A TODA LA RED INTERNA</t>
  </si>
  <si>
    <t>100%</t>
  </si>
  <si>
    <t>A.12.6.1 Gestión vulnerabilidades | A.14.2.8 Pruebas seguridad | A.13.1.1 Controles red</t>
  </si>
  <si>
    <t>A-12 MANIPULACIÓN DE CONFIGURACIÓN (fwinternet.sh)</t>
  </si>
  <si>
    <t>CAMBIO MALICIOSO EN REGLAS IPTABLES</t>
  </si>
  <si>
    <t>INTERRUPCIÓN O REDIRECCIÓN DEL TRÁFICO DE RED</t>
  </si>
  <si>
    <t>A.12.1.2 Gestión del cambio | A.9.2.3 Acceso privilegiado | A.12.4.3 Registros admin</t>
  </si>
  <si>
    <t>Servidor Interno (MySQL Master — 10.10.10.26)</t>
  </si>
  <si>
    <t>A-19 DENEGACIÓN DE SERVICIO (DOS/DDOS)</t>
  </si>
  <si>
    <t>SERVIDOR MYSQL MASTER INACCESIBLE</t>
  </si>
  <si>
    <t>PÉRDIDA DE REPLICACIÓN Y DATOS CRÍTICOS</t>
  </si>
  <si>
    <t>A.13.1.1 Controles de red | A.17.2.1 Redundancias | A.13.1.3 Segregación redes</t>
  </si>
  <si>
    <t>Servidor DMZ (MySQL Slave+Nginx — 20.10.10.26)</t>
  </si>
  <si>
    <t>A-22 INTERCEPCIÓN DE MENSAJES (MitM)</t>
  </si>
  <si>
    <t>INTERCEPTACIÓN DE TRÁFICO EN LA DMZ</t>
  </si>
  <si>
    <t>ROBO DE DATOS DE CLIENTES EN TRÁNSITO</t>
  </si>
  <si>
    <t>A.10.1.1 Política criptográfica | A.13.1.1 Controles red | A.9.4.2 Ingreso seguro</t>
  </si>
  <si>
    <t>Base de datos MySQL — umg_didactica (Replicación)</t>
  </si>
  <si>
    <t>A-21 DIFUSIÓN DE SOFTWARE DAÑINO (RANSOMWARE)</t>
  </si>
  <si>
    <t>CIFRADO DE BASES DE DATOS MASTER/SLAVE</t>
  </si>
  <si>
    <t>PÉRDIDA IRRECUPERABLE DE DATOS ACADÉMICOS</t>
  </si>
  <si>
    <t>A.12.2.1 Anti-malware | A.12.3.1 Respaldo | A.16.1.5 Respuesta incidentes</t>
  </si>
  <si>
    <t>A-07 ATAQUE DESTRUCTIVO (DOS/DDOS)</t>
  </si>
  <si>
    <t>SERVICIO WEB CORPORATIVO INACCESIBLE</t>
  </si>
  <si>
    <t>PÉRDIDA DE IMAGEN CORPORATIVA Y CLIENTES</t>
  </si>
  <si>
    <t>A.13.1.1 Controles de red | A.17.2.1 Redundancias | A.12.1.3 Gestión capacidad</t>
  </si>
  <si>
    <t>A-10 ACCESO NO AUTORIZADO (Puerto 3306/3307)</t>
  </si>
  <si>
    <t>ACCESO INDEBIDO A BASES DE DATOS</t>
  </si>
  <si>
    <t>VIOLACIÓN DE DATOS Y SANCIONES LEGALES</t>
  </si>
  <si>
    <t>Webmin — Panel de administración (Puerto 10000/10001/10002)</t>
  </si>
  <si>
    <t>A-04 ABUSO DE PRIVILEGIOS DE ACCESO</t>
  </si>
  <si>
    <t>USO INDEBIDO DEL PANEL ADMINISTRATIVO</t>
  </si>
  <si>
    <t>MODIFICACIÓN DE CONFIGURACIONES CRÍTICAS</t>
  </si>
  <si>
    <t>A.9.2.3 Gestión acceso privilegiado | A.12.4.3 Registros admin | A.6.1.2 Segregación</t>
  </si>
  <si>
    <t>E-18 ERRORES DE CONFIGURACIÓN DE SEGURIDAD</t>
  </si>
  <si>
    <t>FALLO EN FILTRADO DE TRÁFICO WEB</t>
  </si>
  <si>
    <t>ACCESO A CONTENIDO NO AUTORIZADO DESDE RED INTERNA</t>
  </si>
  <si>
    <t>A.13.1.1 Controles de red | A.13.1.3 Segregación redes | A.12.1.1 Proc. operativos</t>
  </si>
  <si>
    <t>Reglas iptables y políticas Firewall (fwinternet.sh)</t>
  </si>
  <si>
    <t>A-02 MODIFICACIÓN DE LA INFORMACIÓN</t>
  </si>
  <si>
    <t>ALTERACIÓN DE REGLAS DE FIREWALL</t>
  </si>
  <si>
    <t>DEBILITAMIENTO DELIBERADO DE LA POSTURA DE SEGURIDAD</t>
  </si>
  <si>
    <t>MUY BAJA</t>
  </si>
  <si>
    <t>A.8.2.1 Clasificación información | A.12.4.1 Registro eventos | A.10.1.2 Gestión claves</t>
  </si>
  <si>
    <t>E-03 ERRORES MANTENIMIENTO/ACTUALIZACIÓN SOFTWARE</t>
  </si>
  <si>
    <t>FALLO EN SERVICIO DE CORREO CORPORATIVO</t>
  </si>
  <si>
    <t>INTERRUPCIÓN DE COMUNICACIONES INTERNAS</t>
  </si>
  <si>
    <t>A.12.5.1 Control software operacional | A.14.2.2 Control cambios | A.12.6.1 Gestión vuln.</t>
  </si>
  <si>
    <t>E-08 VULNERABILIDADES EN PROGRAMAS/APPS</t>
  </si>
  <si>
    <t>EXPLOTACIÓN DE FALLA EN CLIENTE WEBMAIL</t>
  </si>
  <si>
    <t>ACCESO NO AUTORIZADO A CORREOS CORPORATIVOS</t>
  </si>
  <si>
    <t>A.12.6.1 Gestión vulnerabilidades | A.14.2.8 Pruebas seguridad | A.12.6.2 Rest. SW</t>
  </si>
  <si>
    <t>I-001 AVERÍA DE ORIGEN FÍSICO O LÓGICO</t>
  </si>
  <si>
    <t>FALLA DEL SWITCH PRINCIPAL</t>
  </si>
  <si>
    <t>DESCONEXIÓN TOTAL DE LA RED INTERNA</t>
  </si>
  <si>
    <t>A.11.2.4 Mantenimiento equipos | A.11.2.1 Emplazamiento | A.11.2.2 Suministros</t>
  </si>
  <si>
    <t>A-12 MANIPULACIÓN DE CONFIGURACIÓN</t>
  </si>
  <si>
    <t>ALTERACIÓN DE CONFIGURACIÓN DEL SERVIDOR WEB</t>
  </si>
  <si>
    <t>EXPOSICIÓN DE SECCIÓN ADMIN O REDIRECCIÓN MALICIOSA</t>
  </si>
  <si>
    <t>A.12.1.2 Gestión del cambio | A.9.4.5 Control código fuente | A.12.4.1 Registro eventos</t>
  </si>
  <si>
    <t>N-002 FUEGO O INCENDIO</t>
  </si>
  <si>
    <t>PÉRDIDA TOTAL DEL RACK PRINCIPAL</t>
  </si>
  <si>
    <t>COLAPSO TOTAL DE LA INFRAESTRUCTURA</t>
  </si>
  <si>
    <t>A.11.1.4 Protección física ambiental | A.17.1.1 Planificación continuidad | A.11.2.2 Suministros</t>
  </si>
  <si>
    <t>N-001 DESASTRES NATURALES</t>
  </si>
  <si>
    <t>DESTRUCCIÓN DEL DATA CENTER</t>
  </si>
  <si>
    <t>PÉRDIDA TOTAL DE OPERACIONES TECNOLÓGICAS</t>
  </si>
  <si>
    <t>A.11.1.4 Protección física ambiental | A.17.1.1 Continuidad SI | A.17.2.1 Redundancias</t>
  </si>
  <si>
    <t>E-13 INDISPONIBILIDAD DEL PERSONAL</t>
  </si>
  <si>
    <t>AUSENCIA DEL GERENTE DE INFRAESTRUCTURA</t>
  </si>
  <si>
    <t>INFRAESTRUCTURA SIN GESTIÓN TÉCNICA</t>
  </si>
  <si>
    <t>A.7.2.1 Responsabilidades gerencia | A.7.2.2 Capacitación SI | A.7.1.2 Términos empleo</t>
  </si>
  <si>
    <t>A-20 INGENIERÍA SOCIAL / PHISHING</t>
  </si>
  <si>
    <t>ENGAÑO PARA REVELAR CREDENCIALES CRÍTICAS</t>
  </si>
  <si>
    <t>BRECHA DE SEGURIDAD POR FACTOR HUMANO</t>
  </si>
  <si>
    <t>A.7.2.2 Educación y capacitación SI | A.7.2.3 Proceso disciplinario | A.9.4.2 Ingreso seguro</t>
  </si>
  <si>
    <t>A-13 INDISPONIBILIDAD PERSONAL CLAVE</t>
  </si>
  <si>
    <t>RENUNCIA O AUSENCIA DEL LÍDER TÉCNICO</t>
  </si>
  <si>
    <t>BLOQUEO DE PROYECTOS CRÍTICOS DE SOFTWARE</t>
  </si>
  <si>
    <t>A.7.1.2 Términos de empleo | A.7.2.2 Capacitación SI | A.7.3.1 Terminación empleo</t>
  </si>
  <si>
    <t>ATAQUE QUE DEJA EL SITIO WEB INACCESIBLE</t>
  </si>
  <si>
    <t>PÉRDIDA DE DISPONIBILIDAD PARA TODOS LOS CLIENTES</t>
  </si>
  <si>
    <t>Servicio Correo Electrónico (Apache2+SquirrelMail)</t>
  </si>
  <si>
    <t>E-05 CAÍDA DEL SISTEMA (AGOTAMIENTO RECURSOS)</t>
  </si>
  <si>
    <t>FALLA DEL SERVIDOR DE CORREO CORPORATIVO</t>
  </si>
  <si>
    <t>IMPOSIBILIDAD DE COMUNICACIÓN ELECTRÓNICA</t>
  </si>
  <si>
    <t>A.12.1.3 Gestión capacidad | A.17.2.1 Redundancias | A.12.3.1 Respaldo información</t>
  </si>
  <si>
    <t>ACCESO INDEBIDO A BD DE CLIENTES</t>
  </si>
  <si>
    <t>VIOLACIÓN DE CONTRATO Y SANCIONES LEGALES</t>
  </si>
  <si>
    <t>A-06 INTERCEPTACIÓN DE INFORMACIÓN (SNIFFING)</t>
  </si>
  <si>
    <t>CAPTURA DE DATOS FINANCIEROS EN TRÁNSITO</t>
  </si>
  <si>
    <t>FRAUDE FINANCIERO Y PÉRDIDA ECONÓMICA</t>
  </si>
  <si>
    <t>A.10.1.1 Política criptográfica | A.13.1.1 Controles red | A.13.2.3 Mensajes electrónicos</t>
  </si>
  <si>
    <t>ENUNCIADO DE APLICABILIDAD — AstroServers</t>
  </si>
  <si>
    <t>Cláusula</t>
  </si>
  <si>
    <t>#</t>
  </si>
  <si>
    <t>Objetivo de Control / Control</t>
  </si>
  <si>
    <t>Controles Excluidos</t>
  </si>
  <si>
    <t>RL</t>
  </si>
  <si>
    <t>OC</t>
  </si>
  <si>
    <t>RN/ABP</t>
  </si>
  <si>
    <t>RER</t>
  </si>
  <si>
    <t>Comentario</t>
  </si>
  <si>
    <t xml:space="preserve">  POLÍTICAS DE SEGURIDAD DE LA INFORMACIÓN</t>
  </si>
  <si>
    <t>A.5.1.1</t>
  </si>
  <si>
    <t>Políticas para la seguridad de la información</t>
  </si>
  <si>
    <t>■</t>
  </si>
  <si>
    <t>Definir y aprobar políticas de SI por la dirección de AstroServers.</t>
  </si>
  <si>
    <t>A.5.1.2</t>
  </si>
  <si>
    <t>Revisión de las políticas para la seguridad de la información</t>
  </si>
  <si>
    <t>Revisión anual de políticas o ante cambios en riesgos u operación.</t>
  </si>
  <si>
    <t xml:space="preserve">  ORGANIZACIÓN DE LA SEGURIDAD</t>
  </si>
  <si>
    <t>A.6.1.1</t>
  </si>
  <si>
    <t>Roles y responsabilidades para la seguridad de la información</t>
  </si>
  <si>
    <t>Definir formalmente funciones del Analista de Seguridad y Admins.</t>
  </si>
  <si>
    <t>A.6.1.2</t>
  </si>
  <si>
    <t>Segregación de funciones</t>
  </si>
  <si>
    <t>Separar funciones de desarrollo, operaciones, auditoría y administración.</t>
  </si>
  <si>
    <t>A.6.1.3</t>
  </si>
  <si>
    <t>Contacto con autoridades</t>
  </si>
  <si>
    <t>Mantener contacto con CERT Guatemala y autoridades regulatorias TIC.</t>
  </si>
  <si>
    <t>A.6.1.5</t>
  </si>
  <si>
    <t>Seguridad de la información en la gestión de proyectos</t>
  </si>
  <si>
    <t>Integrar controles de SI en todos los proyectos de infraestructura.</t>
  </si>
  <si>
    <t>A.6.2.1</t>
  </si>
  <si>
    <t>Política de dispositivos móviles</t>
  </si>
  <si>
    <t>Gestionar riesgos por uso de portátiles y smartphones en accesos VPN.</t>
  </si>
  <si>
    <t>A.6.2.2</t>
  </si>
  <si>
    <t>Teletrabajo</t>
  </si>
  <si>
    <t>Implementar controles VPN, MFA y acceso remoto seguro (SSH puerto 23/24).</t>
  </si>
  <si>
    <t xml:space="preserve">  SEGURIDAD DE RECURSOS HUMANOS</t>
  </si>
  <si>
    <t>A.7.1.1</t>
  </si>
  <si>
    <t>Selección</t>
  </si>
  <si>
    <t>Verificar antecedentes de candidatos a roles críticos de seguridad e infraestructura.</t>
  </si>
  <si>
    <t>A.7.1.2</t>
  </si>
  <si>
    <t>Términos y condiciones del empleo</t>
  </si>
  <si>
    <t>Incluir cláusulas de confidencialidad y obligaciones de SI en contratos.</t>
  </si>
  <si>
    <t>A.7.2.1</t>
  </si>
  <si>
    <t>Responsabilidades de la gerencia</t>
  </si>
  <si>
    <t>Gerencia debe exigir cumplimiento de políticas de SI a todos.</t>
  </si>
  <si>
    <t>A.7.2.2</t>
  </si>
  <si>
    <t>Conciencia, educación y capacitación sobre la SI</t>
  </si>
  <si>
    <t>Capacitación periódica en phishing, gestión de contraseñas y MySQL.</t>
  </si>
  <si>
    <t>A.7.2.3</t>
  </si>
  <si>
    <t>Proceso disciplinario</t>
  </si>
  <si>
    <t>Procedimiento disciplinario formal ante incumplimientos de políticas.</t>
  </si>
  <si>
    <t>A.7.3.1</t>
  </si>
  <si>
    <t>Terminación o cambio de responsabilidades del empleo</t>
  </si>
  <si>
    <t>Revocar accesos y recuperar activos digitales al cese o cambio de rol.</t>
  </si>
  <si>
    <t xml:space="preserve">  GESTIÓN DE ACTIVOS</t>
  </si>
  <si>
    <t>A.8.1.1</t>
  </si>
  <si>
    <t>Inventario de activos</t>
  </si>
  <si>
    <t>AstroServers cuenta con catálogo MAGERIT de 100 activos valorados (D/I/C).</t>
  </si>
  <si>
    <t>A.8.1.2</t>
  </si>
  <si>
    <t>Propiedad de los activos</t>
  </si>
  <si>
    <t>Asignar propietario formal a cada activo del catálogo MAGERIT.</t>
  </si>
  <si>
    <t>A.8.1.3</t>
  </si>
  <si>
    <t>Uso aceptable de los activos</t>
  </si>
  <si>
    <t>Definir política de uso aceptable para equipos, MySQL y servidores.</t>
  </si>
  <si>
    <t>A.8.2.1</t>
  </si>
  <si>
    <t>Clasificación de la información</t>
  </si>
  <si>
    <t>Clasificar información: pública, interna, confidencial y secreta.</t>
  </si>
  <si>
    <t>A.8.2.2</t>
  </si>
  <si>
    <t>Etiquetado de la información</t>
  </si>
  <si>
    <t>Implementar esquema de etiquetado coherente con la clasificación.</t>
  </si>
  <si>
    <t>A.8.3.1</t>
  </si>
  <si>
    <t>Gestión de medios removibles</t>
  </si>
  <si>
    <t>Controlar uso de USB y medios extraíbles en estaciones críticas.</t>
  </si>
  <si>
    <t>A.8.3.2</t>
  </si>
  <si>
    <t>Disposición de medios</t>
  </si>
  <si>
    <t>Destrucción segura de medios con información sensible fuera de uso.</t>
  </si>
  <si>
    <t xml:space="preserve">  CONTROL DE ACCESO</t>
  </si>
  <si>
    <t>A.9.1.1</t>
  </si>
  <si>
    <t>Política de control de acceso</t>
  </si>
  <si>
    <t>Definir política de acceso basada en mínimo privilegio — MySQL, SSH, Webmin.</t>
  </si>
  <si>
    <t>A.9.1.2</t>
  </si>
  <si>
    <t>Acceso a redes y servicios de red</t>
  </si>
  <si>
    <t>Acceso restringido mediante iptables, VPN corporativa y MASQUERADE.</t>
  </si>
  <si>
    <t>A.9.2.1</t>
  </si>
  <si>
    <t>Registro y baja de usuarios</t>
  </si>
  <si>
    <t>Proceso formal de alta/baja de usuarios en MySQL, Webmin y SSH.</t>
  </si>
  <si>
    <t>A.9.2.3</t>
  </si>
  <si>
    <t>Gestión de derechos de acceso privilegiados</t>
  </si>
  <si>
    <t>Controlar cuentas root de MySQL y administradores de sistemas.</t>
  </si>
  <si>
    <t>A.9.2.4</t>
  </si>
  <si>
    <t>Gestión de información de autentificación secreta</t>
  </si>
  <si>
    <t>Gestión segura de contraseñas MySQL (IsaproCli, IsaproDMZ, remoto).</t>
  </si>
  <si>
    <t>A.9.4.2</t>
  </si>
  <si>
    <t>Procedimientos de ingreso seguro</t>
  </si>
  <si>
    <t>MFA y autenticación segura en sistemas críticos (MySQL, Webmin, SSH).</t>
  </si>
  <si>
    <t>A.9.4.3</t>
  </si>
  <si>
    <t>Sistema de gestión de contraseñas</t>
  </si>
  <si>
    <t>Política de contraseñas con complejidad y expiración para todos los sistemas.</t>
  </si>
  <si>
    <t xml:space="preserve">  CRIPTOGRAFÍA</t>
  </si>
  <si>
    <t>A.10.1.1</t>
  </si>
  <si>
    <t>Política sobre el uso de controles criptográficos</t>
  </si>
  <si>
    <t>Definir política de cifrado AES-256 en reposo y TLS 1.3 en tránsito.</t>
  </si>
  <si>
    <t>A.10.1.2</t>
  </si>
  <si>
    <t>Gestión de claves</t>
  </si>
  <si>
    <t>Ciclo de vida completo de gestión de claves criptográficas.</t>
  </si>
  <si>
    <t xml:space="preserve">  SEGURIDAD FÍSICA Y AMBIENTAL</t>
  </si>
  <si>
    <t>A.11.1.1</t>
  </si>
  <si>
    <t>Perímetro de seguridad física</t>
  </si>
  <si>
    <t>Data Center AstroServers con perímetro físico controlado.</t>
  </si>
  <si>
    <t>A.11.1.2</t>
  </si>
  <si>
    <t>Controles de ingreso físico</t>
  </si>
  <si>
    <t>Acceso restringido a sala de servidores y áreas de red.</t>
  </si>
  <si>
    <t>A.11.1.4</t>
  </si>
  <si>
    <t>Protección contra amenazas externas y ambientales</t>
  </si>
  <si>
    <t>Sistemas anti-incendio, UPS y climatización en el Data Center.</t>
  </si>
  <si>
    <t>A.11.2.1</t>
  </si>
  <si>
    <t>Emplazamiento y protección de los equipos</t>
  </si>
  <si>
    <t>Servidores y racks instalados con condiciones ambientales controladas.</t>
  </si>
  <si>
    <t>A.11.2.2</t>
  </si>
  <si>
    <t>Servicios de suministro</t>
  </si>
  <si>
    <t>UPS y generador de respaldo para equipos críticos ante cortes eléctricos.</t>
  </si>
  <si>
    <t>A.11.2.4</t>
  </si>
  <si>
    <t>Mantenimiento de equipos</t>
  </si>
  <si>
    <t>Plan de mantenimiento preventivo para servidores, switches y racks.</t>
  </si>
  <si>
    <t xml:space="preserve">  SEGURIDAD DE LAS OPERACIONES</t>
  </si>
  <si>
    <t>A.12.1.1</t>
  </si>
  <si>
    <t>Procedimientos operativos documentados</t>
  </si>
  <si>
    <t>Documentar procedimientos de MySQL, Nginx, Apache2, iptables y VPN.</t>
  </si>
  <si>
    <t>A.12.1.2</t>
  </si>
  <si>
    <t>Gestión del cambio</t>
  </si>
  <si>
    <t>Proceso formal de gestión de cambios en fwinternet.sh e infraestructura.</t>
  </si>
  <si>
    <t>A.12.1.3</t>
  </si>
  <si>
    <t>Gestión de la capacidad</t>
  </si>
  <si>
    <t>Monitoreo de recursos y proyección de capacidad de servidores.</t>
  </si>
  <si>
    <t>A.12.2.1</t>
  </si>
  <si>
    <t>Controles contra códigos maliciosos</t>
  </si>
  <si>
    <t>Antivirus, EDR y monitoreo contra malware y ransomware en todos los nodos.</t>
  </si>
  <si>
    <t>A.12.3.1</t>
  </si>
  <si>
    <t>Respaldo de la información</t>
  </si>
  <si>
    <t>Backups automatizados de MySQL con esquema 3-2-1 y pruebas de restauración.</t>
  </si>
  <si>
    <t>A.12.4.1</t>
  </si>
  <si>
    <t>Registro de eventos</t>
  </si>
  <si>
    <t>Logs centralizados de iptables, MySQL (binlog), Nginx y Apache2.</t>
  </si>
  <si>
    <t>A.12.4.3</t>
  </si>
  <si>
    <t>Registros del administrador y del operador</t>
  </si>
  <si>
    <t>Registro y revisión periódica de actividades de administradores de sistemas.</t>
  </si>
  <si>
    <t>A.12.6.1</t>
  </si>
  <si>
    <t>Gestión de vulnerabilidades técnicas</t>
  </si>
  <si>
    <t>Gestión de CVEs con revisión periódica del Bastión y servicios expuestos.</t>
  </si>
  <si>
    <t xml:space="preserve">  SEGURIDAD DE LAS COMUNICACIONES</t>
  </si>
  <si>
    <t>A.13.1.1</t>
  </si>
  <si>
    <t>Controles de la red</t>
  </si>
  <si>
    <t>iptables, FORWARD, MASQUERADE y segmentación DMZ/Interna implementados.</t>
  </si>
  <si>
    <t>A.13.1.3</t>
  </si>
  <si>
    <t>Segregación en redes</t>
  </si>
  <si>
    <t>Redes segmentadas: Red Interna (10.10.10.0/24) y DMZ (20.10.10.0/24).</t>
  </si>
  <si>
    <t>A.13.2.1</t>
  </si>
  <si>
    <t>Políticas y procedimientos de transferencia de información</t>
  </si>
  <si>
    <t>Política de transferencia segura de información interna y con clientes.</t>
  </si>
  <si>
    <t>A.13.2.4</t>
  </si>
  <si>
    <t>Acuerdos de confidencialidad o no divulgación</t>
  </si>
  <si>
    <t>NDA firmados con clientes, proveedores y personal antes de acceso sensible.</t>
  </si>
  <si>
    <t xml:space="preserve">  ADQUISICIÓN, DESARROLLO Y MANTENIMIENTO</t>
  </si>
  <si>
    <t>A.14.1.1</t>
  </si>
  <si>
    <t>Análisis y especificación de requisitos de SI</t>
  </si>
  <si>
    <t>Incluir requisitos de SI desde la fase de diseño bajo metodología DevSecOps.</t>
  </si>
  <si>
    <t>A.14.2.1</t>
  </si>
  <si>
    <t>Política de desarrollo seguro</t>
  </si>
  <si>
    <t>Política de desarrollo seguro con revisiones de código obligatorias.</t>
  </si>
  <si>
    <t>A.14.2.8</t>
  </si>
  <si>
    <t>Pruebas de seguridad del sistema</t>
  </si>
  <si>
    <t>SAST, DAST y pruebas de penetración como parte del ciclo de desarrollo.</t>
  </si>
  <si>
    <t xml:space="preserve">  GESTIÓN DE INCIDENTES</t>
  </si>
  <si>
    <t>A.16.1.1</t>
  </si>
  <si>
    <t>Responsabilidades y procedimientos</t>
  </si>
  <si>
    <t>El Analista de Seguridad lidera gestión de incidentes con proc. documentados.</t>
  </si>
  <si>
    <t>A.16.1.2</t>
  </si>
  <si>
    <t>Reporte de eventos de seguridad de la información</t>
  </si>
  <si>
    <t>Canal formal de reporte de eventos disponible para todo el personal.</t>
  </si>
  <si>
    <t>A.16.1.5</t>
  </si>
  <si>
    <t>Respuesta a incidentes de seguridad de la información</t>
  </si>
  <si>
    <t>Plan de respuesta a incidentes (IRP) con roles, escalada y comunicación.</t>
  </si>
  <si>
    <t xml:space="preserve">  CONTINUIDAD DEL NEGOCIO</t>
  </si>
  <si>
    <t>A.17.1.1</t>
  </si>
  <si>
    <t>Planificación de continuidad de SI</t>
  </si>
  <si>
    <t>Determinar requisitos de continuidad ante crisis — incluye DRP para MySQL.</t>
  </si>
  <si>
    <t>A.17.1.2</t>
  </si>
  <si>
    <t>Implementación de continuidad de SI</t>
  </si>
  <si>
    <t>Implementar DRP y BCP que mantengan replicación MySQL en situaciones adversas.</t>
  </si>
  <si>
    <t>A.17.2.1</t>
  </si>
  <si>
    <t>Instalaciones de procesamiento de la información</t>
  </si>
  <si>
    <t>Replicación MySQL Master/Slave Bidireccional como mecanismo de redundancia.</t>
  </si>
  <si>
    <t xml:space="preserve">  CUMPLIMIENTO</t>
  </si>
  <si>
    <t>A.18.1.1</t>
  </si>
  <si>
    <t>Identificación de requisitos legales aplicables</t>
  </si>
  <si>
    <t>Identificar legislación aplicable: Ley de Datos Personales, normativas TIC GT.</t>
  </si>
  <si>
    <t>A.18.1.4</t>
  </si>
  <si>
    <t>Privacidad y protección de datos personales</t>
  </si>
  <si>
    <t>Cumplir con normativa de protección de datos personales aplicable en Guatemala.</t>
  </si>
  <si>
    <t>A.18.2.1</t>
  </si>
  <si>
    <t>Revisión independiente de la seguridad de la información</t>
  </si>
  <si>
    <t>Auditoría independiente anual del SGSI por auditores externos certificados.</t>
  </si>
  <si>
    <t>A.18.2.3</t>
  </si>
  <si>
    <t>Revisión del cumplimiento técnico</t>
  </si>
  <si>
    <t>Revisión técnica de sistemas contra políticas de SI mediante herramientas de escaneo.</t>
  </si>
  <si>
    <t>TOTAL CONTROLES ISO/IEC 27001:2013: 114   |   Controles Seleccionados AstroServers: 70   |   Controles Excluidos: 2   |   Controles Actuales (Implementados): 8</t>
  </si>
  <si>
    <t>CATÁLOGO DE ACTIVOS - AstroServers</t>
  </si>
  <si>
    <t>Análisis y Gestión de Riesgos de Sistemas de Información</t>
  </si>
  <si>
    <t xml:space="preserve">AMENAZAS PROBABLES PARA LOS ACTIVOS </t>
  </si>
  <si>
    <t>RESUMEN</t>
  </si>
  <si>
    <t xml:space="preserve">   TOTAL AMENAZAS Y RIESGOS IDENTIFICADOS </t>
  </si>
  <si>
    <t xml:space="preserve">   TOTAL RIESGOS NIVEL ALTO </t>
  </si>
  <si>
    <t xml:space="preserve">   TOTAL RIESGOS NIVEL MEDIO</t>
  </si>
  <si>
    <t xml:space="preserve">   TOTAL RIESGOS NIVEL BAJO</t>
  </si>
  <si>
    <t>TOTAL DE RIESGOS ASUMIDOS</t>
  </si>
  <si>
    <t xml:space="preserve"> RL=Requisito Legal  |  OC=Obligaciones Contractuales  |  RN/ABP=Requisitos de Negocio / Buenas Prácticas  |  RER=Resultado de la Evaluación del Riesgo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</si>
</sst>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i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A3A5C"/>
      </patternFill>
    </fill>
    <fill>
      <patternFill patternType="solid">
        <fgColor rgb="FF2D7CF6"/>
      </patternFill>
    </fill>
    <fill>
      <patternFill patternType="solid">
        <fgColor rgb="FF050D1F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>
        <fgColor rgb="FFD6E8FF"/>
      </patternFill>
    </fill>
    <fill>
      <patternFill patternType="solid">
        <fgColor rgb="FFC0392B"/>
      </patternFill>
    </fill>
    <fill>
      <patternFill patternType="solid">
        <fgColor rgb="FFF1C40F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medium">
        <color rgb="FF2D7CF6"/>
      </left>
      <right style="medium">
        <color rgb="FF2D7CF6"/>
      </right>
      <top style="medium">
        <color rgb="FF2D7CF6"/>
      </top>
      <bottom style="medium">
        <color rgb="FF2D7CF6"/>
      </bottom>
      <diagonal/>
    </border>
    <border>
      <left style="thin">
        <color rgb="FF2D7CF6"/>
      </left>
      <right style="thin">
        <color rgb="FF2D7CF6"/>
      </right>
      <top style="thin">
        <color rgb="FF2D7CF6"/>
      </top>
      <bottom style="thin">
        <color rgb="FF2D7CF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D7CF6"/>
      </left>
      <right/>
      <top/>
      <bottom/>
      <diagonal/>
    </border>
    <border>
      <left style="medium">
        <color rgb="FF2D7CF6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0" fillId="0" borderId="0" xfId="0" applyAlignment="1"/>
    <xf numFmtId="0" fontId="6" fillId="11" borderId="3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horizontal="left" vertical="center" wrapText="1"/>
    </xf>
    <xf numFmtId="0" fontId="0" fillId="11" borderId="0" xfId="0" applyFill="1"/>
    <xf numFmtId="0" fontId="9" fillId="0" borderId="0" xfId="0" applyFont="1" applyFill="1" applyAlignment="1">
      <alignment horizontal="center" vertical="center" wrapText="1"/>
    </xf>
    <xf numFmtId="0" fontId="0" fillId="0" borderId="0" xfId="0" applyFill="1"/>
    <xf numFmtId="0" fontId="10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6" fillId="15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inden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2" fillId="10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3" fillId="17" borderId="11" xfId="0" applyFont="1" applyFill="1" applyBorder="1" applyAlignment="1">
      <alignment horizontal="center" vertical="center"/>
    </xf>
    <xf numFmtId="0" fontId="3" fillId="17" borderId="1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11" fillId="16" borderId="22" xfId="0" applyFont="1" applyFill="1" applyBorder="1" applyAlignment="1">
      <alignment horizontal="center" vertical="center" wrapText="1"/>
    </xf>
    <xf numFmtId="0" fontId="0" fillId="16" borderId="19" xfId="0" applyFill="1" applyBorder="1"/>
    <xf numFmtId="0" fontId="0" fillId="16" borderId="20" xfId="0" applyFill="1" applyBorder="1"/>
    <xf numFmtId="0" fontId="11" fillId="12" borderId="18" xfId="0" applyFont="1" applyFill="1" applyBorder="1" applyAlignment="1">
      <alignment horizontal="center" vertical="center" wrapText="1"/>
    </xf>
    <xf numFmtId="0" fontId="0" fillId="12" borderId="19" xfId="0" applyFill="1" applyBorder="1"/>
    <xf numFmtId="0" fontId="0" fillId="12" borderId="20" xfId="0" applyFill="1" applyBorder="1"/>
    <xf numFmtId="0" fontId="11" fillId="14" borderId="22" xfId="0" applyFont="1" applyFill="1" applyBorder="1" applyAlignment="1">
      <alignment horizontal="center" vertical="center" wrapText="1"/>
    </xf>
    <xf numFmtId="0" fontId="0" fillId="14" borderId="19" xfId="0" applyFill="1" applyBorder="1"/>
    <xf numFmtId="0" fontId="0" fillId="14" borderId="20" xfId="0" applyFill="1" applyBorder="1"/>
    <xf numFmtId="0" fontId="11" fillId="17" borderId="21" xfId="0" applyFont="1" applyFill="1" applyBorder="1" applyAlignment="1">
      <alignment horizontal="center" vertical="center" wrapText="1"/>
    </xf>
    <xf numFmtId="0" fontId="0" fillId="17" borderId="12" xfId="0" applyFill="1" applyBorder="1"/>
    <xf numFmtId="0" fontId="0" fillId="17" borderId="13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4"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1615176</xdr:colOff>
      <xdr:row>1</xdr:row>
      <xdr:rowOff>104774</xdr:rowOff>
    </xdr:from>
    <xdr:to>
      <xdr:col>7</xdr:col>
      <xdr:colOff>1064864</xdr:colOff>
      <xdr:row>5</xdr:row>
      <xdr:rowOff>114299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2901" y="457199"/>
          <a:ext cx="4783688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showGridLines="0" workbookViewId="0">
      <selection activeCell="C116" sqref="C116"/>
    </sheetView>
  </sheetViews>
  <sheetFormatPr baseColWidth="10" defaultColWidth="9.140625" defaultRowHeight="15" x14ac:dyDescent="0.25"/>
  <cols>
    <col min="1" max="1" width="5" customWidth="1"/>
    <col min="2" max="2" width="14" customWidth="1"/>
    <col min="3" max="3" width="50" customWidth="1"/>
    <col min="4" max="4" width="9" customWidth="1"/>
    <col min="5" max="5" width="3" customWidth="1"/>
    <col min="6" max="8" width="4" customWidth="1"/>
    <col min="9" max="9" width="14" customWidth="1"/>
  </cols>
  <sheetData>
    <row r="1" spans="1:9" ht="43.5" customHeight="1" x14ac:dyDescent="0.25">
      <c r="A1" s="34" t="s">
        <v>683</v>
      </c>
      <c r="B1" s="35"/>
      <c r="C1" s="35"/>
      <c r="D1" s="35"/>
      <c r="E1" s="35"/>
      <c r="F1" s="35"/>
      <c r="G1" s="35"/>
      <c r="H1" s="35"/>
      <c r="I1" s="35"/>
    </row>
    <row r="2" spans="1:9" ht="34.5" customHeight="1" x14ac:dyDescent="0.25">
      <c r="A2" s="37" t="s">
        <v>684</v>
      </c>
      <c r="B2" s="35"/>
      <c r="C2" s="35"/>
      <c r="D2" s="35"/>
      <c r="E2" s="35"/>
      <c r="F2" s="35"/>
      <c r="G2" s="35"/>
      <c r="H2" s="35"/>
      <c r="I2" s="35"/>
    </row>
    <row r="3" spans="1:9" ht="27" customHeight="1" x14ac:dyDescent="0.25">
      <c r="F3" s="36" t="s">
        <v>0</v>
      </c>
      <c r="G3" s="32"/>
      <c r="H3" s="32"/>
    </row>
    <row r="4" spans="1:9" ht="25.5" x14ac:dyDescent="0.25">
      <c r="A4" s="1" t="s">
        <v>1</v>
      </c>
      <c r="B4" s="1" t="s">
        <v>2</v>
      </c>
      <c r="C4" s="1" t="s">
        <v>3</v>
      </c>
      <c r="D4" s="1" t="s">
        <v>4</v>
      </c>
      <c r="E4" s="1"/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31" t="s">
        <v>9</v>
      </c>
      <c r="B5" s="32"/>
      <c r="C5" s="32"/>
      <c r="D5" s="32"/>
      <c r="E5" s="32"/>
      <c r="F5" s="32"/>
      <c r="G5" s="32"/>
      <c r="H5" s="32"/>
      <c r="I5" s="32"/>
    </row>
    <row r="6" spans="1:9" x14ac:dyDescent="0.25">
      <c r="A6" s="2">
        <v>1</v>
      </c>
      <c r="B6" s="2" t="s">
        <v>10</v>
      </c>
      <c r="C6" s="3" t="s">
        <v>11</v>
      </c>
      <c r="D6" s="2">
        <v>1</v>
      </c>
      <c r="E6" s="3"/>
      <c r="F6" s="2">
        <v>5</v>
      </c>
      <c r="G6" s="2">
        <v>5</v>
      </c>
      <c r="H6" s="2">
        <v>5</v>
      </c>
      <c r="I6" s="2">
        <v>5</v>
      </c>
    </row>
    <row r="7" spans="1:9" x14ac:dyDescent="0.25">
      <c r="A7" s="4">
        <v>2</v>
      </c>
      <c r="B7" s="4" t="s">
        <v>12</v>
      </c>
      <c r="C7" s="5" t="s">
        <v>13</v>
      </c>
      <c r="D7" s="4">
        <v>1</v>
      </c>
      <c r="E7" s="5"/>
      <c r="F7" s="4">
        <v>5</v>
      </c>
      <c r="G7" s="4">
        <v>5</v>
      </c>
      <c r="H7" s="4">
        <v>5</v>
      </c>
      <c r="I7" s="4">
        <v>5</v>
      </c>
    </row>
    <row r="8" spans="1:9" x14ac:dyDescent="0.25">
      <c r="A8" s="2">
        <v>3</v>
      </c>
      <c r="B8" s="2" t="s">
        <v>14</v>
      </c>
      <c r="C8" s="3" t="s">
        <v>15</v>
      </c>
      <c r="D8" s="2">
        <v>1</v>
      </c>
      <c r="E8" s="3"/>
      <c r="F8" s="2">
        <v>1</v>
      </c>
      <c r="G8" s="2" t="s">
        <v>16</v>
      </c>
      <c r="H8" s="2" t="s">
        <v>16</v>
      </c>
      <c r="I8" s="2">
        <v>1</v>
      </c>
    </row>
    <row r="9" spans="1:9" x14ac:dyDescent="0.25">
      <c r="A9" s="4">
        <v>4</v>
      </c>
      <c r="B9" s="4" t="s">
        <v>17</v>
      </c>
      <c r="C9" s="5" t="s">
        <v>18</v>
      </c>
      <c r="D9" s="4">
        <v>1</v>
      </c>
      <c r="E9" s="5"/>
      <c r="F9" s="4">
        <v>5</v>
      </c>
      <c r="G9" s="4">
        <v>5</v>
      </c>
      <c r="H9" s="4">
        <v>5</v>
      </c>
      <c r="I9" s="4">
        <v>5</v>
      </c>
    </row>
    <row r="10" spans="1:9" x14ac:dyDescent="0.25">
      <c r="A10" s="2">
        <v>5</v>
      </c>
      <c r="B10" s="2" t="s">
        <v>19</v>
      </c>
      <c r="C10" s="3" t="s">
        <v>20</v>
      </c>
      <c r="D10" s="2">
        <v>1</v>
      </c>
      <c r="E10" s="3"/>
      <c r="F10" s="2">
        <v>4</v>
      </c>
      <c r="G10" s="2">
        <v>4</v>
      </c>
      <c r="H10" s="2">
        <v>5</v>
      </c>
      <c r="I10" s="2">
        <v>5</v>
      </c>
    </row>
    <row r="11" spans="1:9" x14ac:dyDescent="0.25">
      <c r="A11" s="4">
        <v>6</v>
      </c>
      <c r="B11" s="4" t="s">
        <v>21</v>
      </c>
      <c r="C11" s="5" t="s">
        <v>22</v>
      </c>
      <c r="D11" s="4">
        <v>1</v>
      </c>
      <c r="E11" s="5"/>
      <c r="F11" s="4">
        <v>1</v>
      </c>
      <c r="G11" s="4" t="s">
        <v>16</v>
      </c>
      <c r="H11" s="4" t="s">
        <v>16</v>
      </c>
      <c r="I11" s="4">
        <v>1</v>
      </c>
    </row>
    <row r="12" spans="1:9" x14ac:dyDescent="0.25">
      <c r="A12" s="2">
        <v>7</v>
      </c>
      <c r="B12" s="2" t="s">
        <v>23</v>
      </c>
      <c r="C12" s="3" t="s">
        <v>24</v>
      </c>
      <c r="D12" s="2">
        <v>1</v>
      </c>
      <c r="E12" s="3"/>
      <c r="F12" s="2">
        <v>3</v>
      </c>
      <c r="G12" s="2">
        <v>4</v>
      </c>
      <c r="H12" s="2">
        <v>5</v>
      </c>
      <c r="I12" s="2">
        <v>5</v>
      </c>
    </row>
    <row r="13" spans="1:9" x14ac:dyDescent="0.25">
      <c r="A13" s="4">
        <v>8</v>
      </c>
      <c r="B13" s="4" t="s">
        <v>25</v>
      </c>
      <c r="C13" s="5" t="s">
        <v>26</v>
      </c>
      <c r="D13" s="4">
        <v>1</v>
      </c>
      <c r="E13" s="5"/>
      <c r="F13" s="4">
        <v>2</v>
      </c>
      <c r="G13" s="4">
        <v>3</v>
      </c>
      <c r="H13" s="4">
        <v>4</v>
      </c>
      <c r="I13" s="4">
        <v>4</v>
      </c>
    </row>
    <row r="14" spans="1:9" x14ac:dyDescent="0.25">
      <c r="A14" s="2">
        <v>9</v>
      </c>
      <c r="B14" s="2" t="s">
        <v>27</v>
      </c>
      <c r="C14" s="3" t="s">
        <v>28</v>
      </c>
      <c r="D14" s="2">
        <v>1</v>
      </c>
      <c r="E14" s="3"/>
      <c r="F14" s="2">
        <v>1</v>
      </c>
      <c r="G14" s="2" t="s">
        <v>16</v>
      </c>
      <c r="H14" s="2" t="s">
        <v>16</v>
      </c>
      <c r="I14" s="2">
        <v>1</v>
      </c>
    </row>
    <row r="15" spans="1:9" x14ac:dyDescent="0.25">
      <c r="A15" s="4">
        <v>10</v>
      </c>
      <c r="B15" s="4" t="s">
        <v>29</v>
      </c>
      <c r="C15" s="5" t="s">
        <v>30</v>
      </c>
      <c r="D15" s="4">
        <v>1</v>
      </c>
      <c r="E15" s="5"/>
      <c r="F15" s="4">
        <v>5</v>
      </c>
      <c r="G15" s="4">
        <v>5</v>
      </c>
      <c r="H15" s="4">
        <v>5</v>
      </c>
      <c r="I15" s="4">
        <v>5</v>
      </c>
    </row>
    <row r="16" spans="1:9" x14ac:dyDescent="0.25">
      <c r="A16" s="2">
        <v>11</v>
      </c>
      <c r="B16" s="2" t="s">
        <v>31</v>
      </c>
      <c r="C16" s="3" t="s">
        <v>32</v>
      </c>
      <c r="D16" s="2">
        <v>1</v>
      </c>
      <c r="E16" s="3"/>
      <c r="F16" s="2">
        <v>5</v>
      </c>
      <c r="G16" s="2">
        <v>4</v>
      </c>
      <c r="H16" s="2">
        <v>5</v>
      </c>
      <c r="I16" s="2">
        <v>5</v>
      </c>
    </row>
    <row r="17" spans="1:9" x14ac:dyDescent="0.25">
      <c r="A17" s="4">
        <v>12</v>
      </c>
      <c r="B17" s="4" t="s">
        <v>33</v>
      </c>
      <c r="C17" s="5" t="s">
        <v>34</v>
      </c>
      <c r="D17" s="4">
        <v>1</v>
      </c>
      <c r="E17" s="5"/>
      <c r="F17" s="4">
        <v>5</v>
      </c>
      <c r="G17" s="4">
        <v>5</v>
      </c>
      <c r="H17" s="4">
        <v>5</v>
      </c>
      <c r="I17" s="4">
        <v>5</v>
      </c>
    </row>
    <row r="18" spans="1:9" x14ac:dyDescent="0.25">
      <c r="A18" s="2">
        <v>13</v>
      </c>
      <c r="B18" s="2" t="s">
        <v>35</v>
      </c>
      <c r="C18" s="3" t="s">
        <v>36</v>
      </c>
      <c r="D18" s="2">
        <v>1</v>
      </c>
      <c r="E18" s="3"/>
      <c r="F18" s="2">
        <v>4</v>
      </c>
      <c r="G18" s="2">
        <v>4</v>
      </c>
      <c r="H18" s="2">
        <v>4</v>
      </c>
      <c r="I18" s="2">
        <v>4</v>
      </c>
    </row>
    <row r="19" spans="1:9" x14ac:dyDescent="0.25">
      <c r="A19" s="31" t="s">
        <v>37</v>
      </c>
      <c r="B19" s="32"/>
      <c r="C19" s="32"/>
      <c r="D19" s="32"/>
      <c r="E19" s="32"/>
      <c r="F19" s="32"/>
      <c r="G19" s="32"/>
      <c r="H19" s="32"/>
      <c r="I19" s="32"/>
    </row>
    <row r="20" spans="1:9" x14ac:dyDescent="0.25">
      <c r="A20" s="2">
        <v>14</v>
      </c>
      <c r="B20" s="2" t="s">
        <v>38</v>
      </c>
      <c r="C20" s="3" t="s">
        <v>39</v>
      </c>
      <c r="D20" s="2">
        <v>1</v>
      </c>
      <c r="E20" s="3"/>
      <c r="F20" s="2">
        <v>5</v>
      </c>
      <c r="G20" s="2">
        <v>5</v>
      </c>
      <c r="H20" s="2">
        <v>5</v>
      </c>
      <c r="I20" s="2">
        <v>5</v>
      </c>
    </row>
    <row r="21" spans="1:9" x14ac:dyDescent="0.25">
      <c r="A21" s="4">
        <v>15</v>
      </c>
      <c r="B21" s="4" t="s">
        <v>40</v>
      </c>
      <c r="C21" s="5" t="s">
        <v>41</v>
      </c>
      <c r="D21" s="4">
        <v>1</v>
      </c>
      <c r="E21" s="5"/>
      <c r="F21" s="4">
        <v>5</v>
      </c>
      <c r="G21" s="4">
        <v>5</v>
      </c>
      <c r="H21" s="4">
        <v>5</v>
      </c>
      <c r="I21" s="4">
        <v>5</v>
      </c>
    </row>
    <row r="22" spans="1:9" x14ac:dyDescent="0.25">
      <c r="A22" s="2">
        <v>16</v>
      </c>
      <c r="B22" s="2" t="s">
        <v>42</v>
      </c>
      <c r="C22" s="3" t="s">
        <v>43</v>
      </c>
      <c r="D22" s="2">
        <v>1</v>
      </c>
      <c r="E22" s="3"/>
      <c r="F22" s="2">
        <v>1</v>
      </c>
      <c r="G22" s="2" t="s">
        <v>16</v>
      </c>
      <c r="H22" s="2" t="s">
        <v>16</v>
      </c>
      <c r="I22" s="2">
        <v>1</v>
      </c>
    </row>
    <row r="23" spans="1:9" x14ac:dyDescent="0.25">
      <c r="A23" s="4">
        <v>17</v>
      </c>
      <c r="B23" s="4" t="s">
        <v>44</v>
      </c>
      <c r="C23" s="5" t="s">
        <v>45</v>
      </c>
      <c r="D23" s="4">
        <v>2</v>
      </c>
      <c r="E23" s="5"/>
      <c r="F23" s="4">
        <v>5</v>
      </c>
      <c r="G23" s="4">
        <v>5</v>
      </c>
      <c r="H23" s="4">
        <v>5</v>
      </c>
      <c r="I23" s="4">
        <v>10</v>
      </c>
    </row>
    <row r="24" spans="1:9" x14ac:dyDescent="0.25">
      <c r="A24" s="2">
        <v>18</v>
      </c>
      <c r="B24" s="2" t="s">
        <v>46</v>
      </c>
      <c r="C24" s="3" t="s">
        <v>47</v>
      </c>
      <c r="D24" s="2">
        <v>2</v>
      </c>
      <c r="E24" s="3"/>
      <c r="F24" s="2">
        <v>1</v>
      </c>
      <c r="G24" s="2" t="s">
        <v>16</v>
      </c>
      <c r="H24" s="2" t="s">
        <v>16</v>
      </c>
      <c r="I24" s="2">
        <v>2</v>
      </c>
    </row>
    <row r="25" spans="1:9" x14ac:dyDescent="0.25">
      <c r="A25" s="4">
        <v>19</v>
      </c>
      <c r="B25" s="4" t="s">
        <v>48</v>
      </c>
      <c r="C25" s="5" t="s">
        <v>49</v>
      </c>
      <c r="D25" s="4">
        <v>2</v>
      </c>
      <c r="E25" s="5"/>
      <c r="F25" s="4">
        <v>5</v>
      </c>
      <c r="G25" s="4">
        <v>5</v>
      </c>
      <c r="H25" s="4">
        <v>5</v>
      </c>
      <c r="I25" s="4">
        <v>10</v>
      </c>
    </row>
    <row r="26" spans="1:9" x14ac:dyDescent="0.25">
      <c r="A26" s="2">
        <v>20</v>
      </c>
      <c r="B26" s="2" t="s">
        <v>50</v>
      </c>
      <c r="C26" s="3" t="s">
        <v>51</v>
      </c>
      <c r="D26" s="2">
        <v>2</v>
      </c>
      <c r="E26" s="3"/>
      <c r="F26" s="2">
        <v>1</v>
      </c>
      <c r="G26" s="2" t="s">
        <v>16</v>
      </c>
      <c r="H26" s="2" t="s">
        <v>16</v>
      </c>
      <c r="I26" s="2">
        <v>2</v>
      </c>
    </row>
    <row r="27" spans="1:9" x14ac:dyDescent="0.25">
      <c r="A27" s="4">
        <v>21</v>
      </c>
      <c r="B27" s="4" t="s">
        <v>52</v>
      </c>
      <c r="C27" s="5" t="s">
        <v>53</v>
      </c>
      <c r="D27" s="4">
        <v>1</v>
      </c>
      <c r="E27" s="5"/>
      <c r="F27" s="4">
        <v>5</v>
      </c>
      <c r="G27" s="4">
        <v>5</v>
      </c>
      <c r="H27" s="4">
        <v>5</v>
      </c>
      <c r="I27" s="4">
        <v>5</v>
      </c>
    </row>
    <row r="28" spans="1:9" x14ac:dyDescent="0.25">
      <c r="A28" s="2">
        <v>22</v>
      </c>
      <c r="B28" s="2" t="s">
        <v>54</v>
      </c>
      <c r="C28" s="3" t="s">
        <v>55</v>
      </c>
      <c r="D28" s="2">
        <v>1</v>
      </c>
      <c r="E28" s="3"/>
      <c r="F28" s="2">
        <v>5</v>
      </c>
      <c r="G28" s="2">
        <v>5</v>
      </c>
      <c r="H28" s="2">
        <v>5</v>
      </c>
      <c r="I28" s="2">
        <v>5</v>
      </c>
    </row>
    <row r="29" spans="1:9" x14ac:dyDescent="0.25">
      <c r="A29" s="4">
        <v>23</v>
      </c>
      <c r="B29" s="4" t="s">
        <v>56</v>
      </c>
      <c r="C29" s="5" t="s">
        <v>57</v>
      </c>
      <c r="D29" s="4">
        <v>1</v>
      </c>
      <c r="E29" s="5"/>
      <c r="F29" s="4">
        <v>5</v>
      </c>
      <c r="G29" s="4">
        <v>5</v>
      </c>
      <c r="H29" s="4">
        <v>5</v>
      </c>
      <c r="I29" s="4">
        <v>5</v>
      </c>
    </row>
    <row r="30" spans="1:9" x14ac:dyDescent="0.25">
      <c r="A30" s="2">
        <v>24</v>
      </c>
      <c r="B30" s="2" t="s">
        <v>58</v>
      </c>
      <c r="C30" s="3" t="s">
        <v>59</v>
      </c>
      <c r="D30" s="2">
        <v>1</v>
      </c>
      <c r="E30" s="3"/>
      <c r="F30" s="2">
        <v>5</v>
      </c>
      <c r="G30" s="2">
        <v>5</v>
      </c>
      <c r="H30" s="2">
        <v>5</v>
      </c>
      <c r="I30" s="2">
        <v>5</v>
      </c>
    </row>
    <row r="31" spans="1:9" x14ac:dyDescent="0.25">
      <c r="A31" s="4">
        <v>25</v>
      </c>
      <c r="B31" s="4" t="s">
        <v>60</v>
      </c>
      <c r="C31" s="5" t="s">
        <v>61</v>
      </c>
      <c r="D31" s="4">
        <v>1</v>
      </c>
      <c r="E31" s="5"/>
      <c r="F31" s="4">
        <v>5</v>
      </c>
      <c r="G31" s="4">
        <v>5</v>
      </c>
      <c r="H31" s="4">
        <v>5</v>
      </c>
      <c r="I31" s="4">
        <v>5</v>
      </c>
    </row>
    <row r="32" spans="1:9" x14ac:dyDescent="0.25">
      <c r="A32" s="2">
        <v>26</v>
      </c>
      <c r="B32" s="2" t="s">
        <v>62</v>
      </c>
      <c r="C32" s="3" t="s">
        <v>63</v>
      </c>
      <c r="D32" s="2">
        <v>1</v>
      </c>
      <c r="E32" s="3"/>
      <c r="F32" s="2">
        <v>5</v>
      </c>
      <c r="G32" s="2">
        <v>5</v>
      </c>
      <c r="H32" s="2">
        <v>4</v>
      </c>
      <c r="I32" s="2">
        <v>5</v>
      </c>
    </row>
    <row r="33" spans="1:9" x14ac:dyDescent="0.25">
      <c r="A33" s="4">
        <v>27</v>
      </c>
      <c r="B33" s="4" t="s">
        <v>64</v>
      </c>
      <c r="C33" s="5" t="s">
        <v>65</v>
      </c>
      <c r="D33" s="4">
        <v>1</v>
      </c>
      <c r="E33" s="5"/>
      <c r="F33" s="4">
        <v>2</v>
      </c>
      <c r="G33" s="4">
        <v>3</v>
      </c>
      <c r="H33" s="4">
        <v>4</v>
      </c>
      <c r="I33" s="4">
        <v>4</v>
      </c>
    </row>
    <row r="34" spans="1:9" x14ac:dyDescent="0.25">
      <c r="A34" s="2">
        <v>28</v>
      </c>
      <c r="B34" s="2" t="s">
        <v>66</v>
      </c>
      <c r="C34" s="3" t="s">
        <v>67</v>
      </c>
      <c r="D34" s="2">
        <v>2</v>
      </c>
      <c r="E34" s="3"/>
      <c r="F34" s="2">
        <v>1</v>
      </c>
      <c r="G34" s="2" t="s">
        <v>16</v>
      </c>
      <c r="H34" s="2" t="s">
        <v>16</v>
      </c>
      <c r="I34" s="2">
        <v>2</v>
      </c>
    </row>
    <row r="35" spans="1:9" x14ac:dyDescent="0.25">
      <c r="A35" s="4">
        <v>29</v>
      </c>
      <c r="B35" s="4" t="s">
        <v>68</v>
      </c>
      <c r="C35" s="5" t="s">
        <v>69</v>
      </c>
      <c r="D35" s="4">
        <v>1</v>
      </c>
      <c r="E35" s="5"/>
      <c r="F35" s="4">
        <v>1</v>
      </c>
      <c r="G35" s="4" t="s">
        <v>16</v>
      </c>
      <c r="H35" s="4" t="s">
        <v>16</v>
      </c>
      <c r="I35" s="4">
        <v>1</v>
      </c>
    </row>
    <row r="36" spans="1:9" x14ac:dyDescent="0.25">
      <c r="A36" s="2">
        <v>30</v>
      </c>
      <c r="B36" s="2" t="s">
        <v>70</v>
      </c>
      <c r="C36" s="3" t="s">
        <v>71</v>
      </c>
      <c r="D36" s="2">
        <v>1</v>
      </c>
      <c r="E36" s="3"/>
      <c r="F36" s="2">
        <v>5</v>
      </c>
      <c r="G36" s="2">
        <v>5</v>
      </c>
      <c r="H36" s="2">
        <v>5</v>
      </c>
      <c r="I36" s="2">
        <v>5</v>
      </c>
    </row>
    <row r="37" spans="1:9" x14ac:dyDescent="0.25">
      <c r="A37" s="4">
        <v>31</v>
      </c>
      <c r="B37" s="4" t="s">
        <v>72</v>
      </c>
      <c r="C37" s="5" t="s">
        <v>73</v>
      </c>
      <c r="D37" s="4">
        <v>1</v>
      </c>
      <c r="E37" s="5"/>
      <c r="F37" s="4">
        <v>5</v>
      </c>
      <c r="G37" s="4">
        <v>5</v>
      </c>
      <c r="H37" s="4">
        <v>5</v>
      </c>
      <c r="I37" s="4">
        <v>5</v>
      </c>
    </row>
    <row r="38" spans="1:9" x14ac:dyDescent="0.25">
      <c r="A38" s="2">
        <v>32</v>
      </c>
      <c r="B38" s="2" t="s">
        <v>74</v>
      </c>
      <c r="C38" s="3" t="s">
        <v>75</v>
      </c>
      <c r="D38" s="2">
        <v>1</v>
      </c>
      <c r="E38" s="3"/>
      <c r="F38" s="2">
        <v>5</v>
      </c>
      <c r="G38" s="2">
        <v>5</v>
      </c>
      <c r="H38" s="2">
        <v>5</v>
      </c>
      <c r="I38" s="2">
        <v>5</v>
      </c>
    </row>
    <row r="39" spans="1:9" x14ac:dyDescent="0.25">
      <c r="A39" s="4">
        <v>33</v>
      </c>
      <c r="B39" s="4" t="s">
        <v>76</v>
      </c>
      <c r="C39" s="5" t="s">
        <v>77</v>
      </c>
      <c r="D39" s="4">
        <v>1</v>
      </c>
      <c r="E39" s="5"/>
      <c r="F39" s="4">
        <v>4</v>
      </c>
      <c r="G39" s="4">
        <v>4</v>
      </c>
      <c r="H39" s="4">
        <v>5</v>
      </c>
      <c r="I39" s="4">
        <v>5</v>
      </c>
    </row>
    <row r="40" spans="1:9" x14ac:dyDescent="0.25">
      <c r="A40" s="2">
        <v>34</v>
      </c>
      <c r="B40" s="2" t="s">
        <v>78</v>
      </c>
      <c r="C40" s="3" t="s">
        <v>79</v>
      </c>
      <c r="D40" s="2">
        <v>1</v>
      </c>
      <c r="E40" s="3"/>
      <c r="F40" s="2">
        <v>5</v>
      </c>
      <c r="G40" s="2">
        <v>5</v>
      </c>
      <c r="H40" s="2">
        <v>5</v>
      </c>
      <c r="I40" s="2">
        <v>5</v>
      </c>
    </row>
    <row r="41" spans="1:9" x14ac:dyDescent="0.25">
      <c r="A41" s="4">
        <v>35</v>
      </c>
      <c r="B41" s="4" t="s">
        <v>80</v>
      </c>
      <c r="C41" s="5" t="s">
        <v>81</v>
      </c>
      <c r="D41" s="4">
        <v>2</v>
      </c>
      <c r="E41" s="5"/>
      <c r="F41" s="4">
        <v>5</v>
      </c>
      <c r="G41" s="4">
        <v>5</v>
      </c>
      <c r="H41" s="4">
        <v>5</v>
      </c>
      <c r="I41" s="4">
        <v>10</v>
      </c>
    </row>
    <row r="42" spans="1:9" x14ac:dyDescent="0.25">
      <c r="A42" s="2">
        <v>36</v>
      </c>
      <c r="B42" s="2" t="s">
        <v>82</v>
      </c>
      <c r="C42" s="3" t="s">
        <v>83</v>
      </c>
      <c r="D42" s="2">
        <v>2</v>
      </c>
      <c r="E42" s="3"/>
      <c r="F42" s="2">
        <v>4</v>
      </c>
      <c r="G42" s="2">
        <v>4</v>
      </c>
      <c r="H42" s="2">
        <v>4</v>
      </c>
      <c r="I42" s="2">
        <v>8</v>
      </c>
    </row>
    <row r="43" spans="1:9" x14ac:dyDescent="0.25">
      <c r="A43" s="31" t="s">
        <v>84</v>
      </c>
      <c r="B43" s="32"/>
      <c r="C43" s="32"/>
      <c r="D43" s="32"/>
      <c r="E43" s="32"/>
      <c r="F43" s="32"/>
      <c r="G43" s="32"/>
      <c r="H43" s="32"/>
      <c r="I43" s="32"/>
    </row>
    <row r="44" spans="1:9" x14ac:dyDescent="0.25">
      <c r="A44" s="2">
        <v>37</v>
      </c>
      <c r="B44" s="2" t="s">
        <v>85</v>
      </c>
      <c r="C44" s="3" t="s">
        <v>86</v>
      </c>
      <c r="D44" s="2">
        <v>1</v>
      </c>
      <c r="E44" s="3"/>
      <c r="F44" s="2">
        <v>5</v>
      </c>
      <c r="G44" s="2">
        <v>5</v>
      </c>
      <c r="H44" s="2">
        <v>4</v>
      </c>
      <c r="I44" s="2">
        <v>5</v>
      </c>
    </row>
    <row r="45" spans="1:9" x14ac:dyDescent="0.25">
      <c r="A45" s="4">
        <v>38</v>
      </c>
      <c r="B45" s="4" t="s">
        <v>87</v>
      </c>
      <c r="C45" s="5" t="s">
        <v>88</v>
      </c>
      <c r="D45" s="4">
        <v>1</v>
      </c>
      <c r="E45" s="5"/>
      <c r="F45" s="4">
        <v>5</v>
      </c>
      <c r="G45" s="4">
        <v>5</v>
      </c>
      <c r="H45" s="4">
        <v>5</v>
      </c>
      <c r="I45" s="4">
        <v>5</v>
      </c>
    </row>
    <row r="46" spans="1:9" x14ac:dyDescent="0.25">
      <c r="A46" s="2">
        <v>39</v>
      </c>
      <c r="B46" s="2" t="s">
        <v>89</v>
      </c>
      <c r="C46" s="3" t="s">
        <v>90</v>
      </c>
      <c r="D46" s="2">
        <v>1</v>
      </c>
      <c r="E46" s="3"/>
      <c r="F46" s="2">
        <v>1</v>
      </c>
      <c r="G46" s="2" t="s">
        <v>16</v>
      </c>
      <c r="H46" s="2" t="s">
        <v>16</v>
      </c>
      <c r="I46" s="2">
        <v>1</v>
      </c>
    </row>
    <row r="47" spans="1:9" x14ac:dyDescent="0.25">
      <c r="A47" s="4">
        <v>40</v>
      </c>
      <c r="B47" s="4" t="s">
        <v>91</v>
      </c>
      <c r="C47" s="5" t="s">
        <v>92</v>
      </c>
      <c r="D47" s="4">
        <v>2</v>
      </c>
      <c r="E47" s="5"/>
      <c r="F47" s="4">
        <v>5</v>
      </c>
      <c r="G47" s="4">
        <v>5</v>
      </c>
      <c r="H47" s="4">
        <v>5</v>
      </c>
      <c r="I47" s="4">
        <v>10</v>
      </c>
    </row>
    <row r="48" spans="1:9" x14ac:dyDescent="0.25">
      <c r="A48" s="2">
        <v>41</v>
      </c>
      <c r="B48" s="2" t="s">
        <v>93</v>
      </c>
      <c r="C48" s="3" t="s">
        <v>94</v>
      </c>
      <c r="D48" s="2">
        <v>2</v>
      </c>
      <c r="E48" s="3"/>
      <c r="F48" s="2">
        <v>1</v>
      </c>
      <c r="G48" s="2" t="s">
        <v>16</v>
      </c>
      <c r="H48" s="2" t="s">
        <v>16</v>
      </c>
      <c r="I48" s="2">
        <v>2</v>
      </c>
    </row>
    <row r="49" spans="1:9" ht="24" x14ac:dyDescent="0.25">
      <c r="A49" s="4">
        <v>42</v>
      </c>
      <c r="B49" s="4" t="s">
        <v>95</v>
      </c>
      <c r="C49" s="5" t="s">
        <v>96</v>
      </c>
      <c r="D49" s="4">
        <v>1</v>
      </c>
      <c r="E49" s="5"/>
      <c r="F49" s="4">
        <v>5</v>
      </c>
      <c r="G49" s="4">
        <v>5</v>
      </c>
      <c r="H49" s="4">
        <v>5</v>
      </c>
      <c r="I49" s="4">
        <v>5</v>
      </c>
    </row>
    <row r="50" spans="1:9" x14ac:dyDescent="0.25">
      <c r="A50" s="2">
        <v>43</v>
      </c>
      <c r="B50" s="2" t="s">
        <v>97</v>
      </c>
      <c r="C50" s="3" t="s">
        <v>98</v>
      </c>
      <c r="D50" s="2">
        <v>1</v>
      </c>
      <c r="E50" s="3"/>
      <c r="F50" s="2">
        <v>5</v>
      </c>
      <c r="G50" s="2">
        <v>5</v>
      </c>
      <c r="H50" s="2">
        <v>5</v>
      </c>
      <c r="I50" s="2">
        <v>5</v>
      </c>
    </row>
    <row r="51" spans="1:9" x14ac:dyDescent="0.25">
      <c r="A51" s="4">
        <v>44</v>
      </c>
      <c r="B51" s="4" t="s">
        <v>99</v>
      </c>
      <c r="C51" s="5" t="s">
        <v>100</v>
      </c>
      <c r="D51" s="4">
        <v>2</v>
      </c>
      <c r="E51" s="5"/>
      <c r="F51" s="4">
        <v>2</v>
      </c>
      <c r="G51" s="4">
        <v>3</v>
      </c>
      <c r="H51" s="4">
        <v>4</v>
      </c>
      <c r="I51" s="4">
        <v>8</v>
      </c>
    </row>
    <row r="52" spans="1:9" x14ac:dyDescent="0.25">
      <c r="A52" s="2">
        <v>45</v>
      </c>
      <c r="B52" s="2" t="s">
        <v>101</v>
      </c>
      <c r="C52" s="3" t="s">
        <v>102</v>
      </c>
      <c r="D52" s="2">
        <v>1</v>
      </c>
      <c r="E52" s="3"/>
      <c r="F52" s="2">
        <v>5</v>
      </c>
      <c r="G52" s="2">
        <v>5</v>
      </c>
      <c r="H52" s="2">
        <v>5</v>
      </c>
      <c r="I52" s="2">
        <v>5</v>
      </c>
    </row>
    <row r="53" spans="1:9" x14ac:dyDescent="0.25">
      <c r="A53" s="4">
        <v>46</v>
      </c>
      <c r="B53" s="4" t="s">
        <v>103</v>
      </c>
      <c r="C53" s="5" t="s">
        <v>104</v>
      </c>
      <c r="D53" s="4">
        <v>1</v>
      </c>
      <c r="E53" s="5"/>
      <c r="F53" s="4">
        <v>5</v>
      </c>
      <c r="G53" s="4">
        <v>5</v>
      </c>
      <c r="H53" s="4">
        <v>5</v>
      </c>
      <c r="I53" s="4">
        <v>5</v>
      </c>
    </row>
    <row r="54" spans="1:9" x14ac:dyDescent="0.25">
      <c r="A54" s="2">
        <v>47</v>
      </c>
      <c r="B54" s="2" t="s">
        <v>105</v>
      </c>
      <c r="C54" s="3" t="s">
        <v>106</v>
      </c>
      <c r="D54" s="2">
        <v>1</v>
      </c>
      <c r="E54" s="3"/>
      <c r="F54" s="2">
        <v>4</v>
      </c>
      <c r="G54" s="2">
        <v>4</v>
      </c>
      <c r="H54" s="2">
        <v>4</v>
      </c>
      <c r="I54" s="2">
        <v>4</v>
      </c>
    </row>
    <row r="55" spans="1:9" x14ac:dyDescent="0.25">
      <c r="A55" s="4">
        <v>48</v>
      </c>
      <c r="B55" s="4" t="s">
        <v>107</v>
      </c>
      <c r="C55" s="5" t="s">
        <v>108</v>
      </c>
      <c r="D55" s="4">
        <v>1</v>
      </c>
      <c r="E55" s="5"/>
      <c r="F55" s="4">
        <v>5</v>
      </c>
      <c r="G55" s="4">
        <v>5</v>
      </c>
      <c r="H55" s="4">
        <v>5</v>
      </c>
      <c r="I55" s="4">
        <v>5</v>
      </c>
    </row>
    <row r="56" spans="1:9" x14ac:dyDescent="0.25">
      <c r="A56" s="2">
        <v>49</v>
      </c>
      <c r="B56" s="2" t="s">
        <v>109</v>
      </c>
      <c r="C56" s="3" t="s">
        <v>110</v>
      </c>
      <c r="D56" s="2">
        <v>2</v>
      </c>
      <c r="E56" s="3"/>
      <c r="F56" s="2">
        <v>4</v>
      </c>
      <c r="G56" s="2">
        <v>5</v>
      </c>
      <c r="H56" s="2">
        <v>4</v>
      </c>
      <c r="I56" s="2">
        <v>10</v>
      </c>
    </row>
    <row r="57" spans="1:9" x14ac:dyDescent="0.25">
      <c r="A57" s="31" t="s">
        <v>111</v>
      </c>
      <c r="B57" s="32"/>
      <c r="C57" s="32"/>
      <c r="D57" s="32"/>
      <c r="E57" s="32"/>
      <c r="F57" s="32"/>
      <c r="G57" s="32"/>
      <c r="H57" s="32"/>
      <c r="I57" s="32"/>
    </row>
    <row r="58" spans="1:9" x14ac:dyDescent="0.25">
      <c r="A58" s="2">
        <v>50</v>
      </c>
      <c r="B58" s="2" t="s">
        <v>112</v>
      </c>
      <c r="C58" s="3" t="s">
        <v>113</v>
      </c>
      <c r="D58" s="2">
        <v>1</v>
      </c>
      <c r="E58" s="3"/>
      <c r="F58" s="2">
        <v>5</v>
      </c>
      <c r="G58" s="2">
        <v>5</v>
      </c>
      <c r="H58" s="2">
        <v>5</v>
      </c>
      <c r="I58" s="2">
        <v>5</v>
      </c>
    </row>
    <row r="59" spans="1:9" x14ac:dyDescent="0.25">
      <c r="A59" s="4">
        <v>51</v>
      </c>
      <c r="B59" s="4" t="s">
        <v>114</v>
      </c>
      <c r="C59" s="5" t="s">
        <v>115</v>
      </c>
      <c r="D59" s="4">
        <v>1</v>
      </c>
      <c r="E59" s="5"/>
      <c r="F59" s="4">
        <v>5</v>
      </c>
      <c r="G59" s="4">
        <v>5</v>
      </c>
      <c r="H59" s="4">
        <v>5</v>
      </c>
      <c r="I59" s="4">
        <v>5</v>
      </c>
    </row>
    <row r="60" spans="1:9" x14ac:dyDescent="0.25">
      <c r="A60" s="2">
        <v>52</v>
      </c>
      <c r="B60" s="2" t="s">
        <v>116</v>
      </c>
      <c r="C60" s="3" t="s">
        <v>117</v>
      </c>
      <c r="D60" s="2">
        <v>1</v>
      </c>
      <c r="E60" s="3"/>
      <c r="F60" s="2">
        <v>1</v>
      </c>
      <c r="G60" s="2" t="s">
        <v>16</v>
      </c>
      <c r="H60" s="2" t="s">
        <v>16</v>
      </c>
      <c r="I60" s="2">
        <v>1</v>
      </c>
    </row>
    <row r="61" spans="1:9" x14ac:dyDescent="0.25">
      <c r="A61" s="4">
        <v>53</v>
      </c>
      <c r="B61" s="4" t="s">
        <v>118</v>
      </c>
      <c r="C61" s="5" t="s">
        <v>119</v>
      </c>
      <c r="D61" s="4">
        <v>1</v>
      </c>
      <c r="E61" s="5"/>
      <c r="F61" s="4">
        <v>5</v>
      </c>
      <c r="G61" s="4">
        <v>5</v>
      </c>
      <c r="H61" s="4">
        <v>5</v>
      </c>
      <c r="I61" s="4">
        <v>5</v>
      </c>
    </row>
    <row r="62" spans="1:9" x14ac:dyDescent="0.25">
      <c r="A62" s="2">
        <v>54</v>
      </c>
      <c r="B62" s="2" t="s">
        <v>120</v>
      </c>
      <c r="C62" s="3" t="s">
        <v>121</v>
      </c>
      <c r="D62" s="2">
        <v>1</v>
      </c>
      <c r="E62" s="3"/>
      <c r="F62" s="2">
        <v>5</v>
      </c>
      <c r="G62" s="2">
        <v>5</v>
      </c>
      <c r="H62" s="2">
        <v>5</v>
      </c>
      <c r="I62" s="2">
        <v>5</v>
      </c>
    </row>
    <row r="63" spans="1:9" x14ac:dyDescent="0.25">
      <c r="A63" s="4">
        <v>55</v>
      </c>
      <c r="B63" s="4" t="s">
        <v>122</v>
      </c>
      <c r="C63" s="5" t="s">
        <v>123</v>
      </c>
      <c r="D63" s="4">
        <v>1</v>
      </c>
      <c r="E63" s="5"/>
      <c r="F63" s="4">
        <v>5</v>
      </c>
      <c r="G63" s="4">
        <v>5</v>
      </c>
      <c r="H63" s="4">
        <v>5</v>
      </c>
      <c r="I63" s="4">
        <v>5</v>
      </c>
    </row>
    <row r="64" spans="1:9" x14ac:dyDescent="0.25">
      <c r="A64" s="2">
        <v>56</v>
      </c>
      <c r="B64" s="2" t="s">
        <v>124</v>
      </c>
      <c r="C64" s="3" t="s">
        <v>125</v>
      </c>
      <c r="D64" s="2">
        <v>1</v>
      </c>
      <c r="E64" s="3"/>
      <c r="F64" s="2">
        <v>4</v>
      </c>
      <c r="G64" s="2">
        <v>4</v>
      </c>
      <c r="H64" s="2">
        <v>4</v>
      </c>
      <c r="I64" s="2">
        <v>4</v>
      </c>
    </row>
    <row r="65" spans="1:9" x14ac:dyDescent="0.25">
      <c r="A65" s="4">
        <v>57</v>
      </c>
      <c r="B65" s="4" t="s">
        <v>126</v>
      </c>
      <c r="C65" s="5" t="s">
        <v>127</v>
      </c>
      <c r="D65" s="4">
        <v>1</v>
      </c>
      <c r="E65" s="5"/>
      <c r="F65" s="4">
        <v>5</v>
      </c>
      <c r="G65" s="4">
        <v>5</v>
      </c>
      <c r="H65" s="4">
        <v>5</v>
      </c>
      <c r="I65" s="4">
        <v>5</v>
      </c>
    </row>
    <row r="66" spans="1:9" x14ac:dyDescent="0.25">
      <c r="A66" s="2">
        <v>58</v>
      </c>
      <c r="B66" s="2" t="s">
        <v>128</v>
      </c>
      <c r="C66" s="3" t="s">
        <v>129</v>
      </c>
      <c r="D66" s="2">
        <v>1</v>
      </c>
      <c r="E66" s="3"/>
      <c r="F66" s="2">
        <v>5</v>
      </c>
      <c r="G66" s="2">
        <v>5</v>
      </c>
      <c r="H66" s="2">
        <v>5</v>
      </c>
      <c r="I66" s="2">
        <v>5</v>
      </c>
    </row>
    <row r="67" spans="1:9" x14ac:dyDescent="0.25">
      <c r="A67" s="4">
        <v>59</v>
      </c>
      <c r="B67" s="4" t="s">
        <v>130</v>
      </c>
      <c r="C67" s="5" t="s">
        <v>131</v>
      </c>
      <c r="D67" s="4">
        <v>1</v>
      </c>
      <c r="E67" s="5"/>
      <c r="F67" s="4">
        <v>3</v>
      </c>
      <c r="G67" s="4">
        <v>4</v>
      </c>
      <c r="H67" s="4">
        <v>5</v>
      </c>
      <c r="I67" s="4">
        <v>5</v>
      </c>
    </row>
    <row r="68" spans="1:9" x14ac:dyDescent="0.25">
      <c r="A68" s="2">
        <v>60</v>
      </c>
      <c r="B68" s="2" t="s">
        <v>132</v>
      </c>
      <c r="C68" s="3" t="s">
        <v>133</v>
      </c>
      <c r="D68" s="2">
        <v>1</v>
      </c>
      <c r="E68" s="3"/>
      <c r="F68" s="2">
        <v>5</v>
      </c>
      <c r="G68" s="2">
        <v>5</v>
      </c>
      <c r="H68" s="2">
        <v>5</v>
      </c>
      <c r="I68" s="2">
        <v>5</v>
      </c>
    </row>
    <row r="69" spans="1:9" x14ac:dyDescent="0.25">
      <c r="A69" s="4">
        <v>61</v>
      </c>
      <c r="B69" s="4" t="s">
        <v>134</v>
      </c>
      <c r="C69" s="5" t="s">
        <v>135</v>
      </c>
      <c r="D69" s="4">
        <v>1</v>
      </c>
      <c r="E69" s="5"/>
      <c r="F69" s="4">
        <v>5</v>
      </c>
      <c r="G69" s="4">
        <v>5</v>
      </c>
      <c r="H69" s="4">
        <v>5</v>
      </c>
      <c r="I69" s="4">
        <v>5</v>
      </c>
    </row>
    <row r="70" spans="1:9" x14ac:dyDescent="0.25">
      <c r="A70" s="2">
        <v>62</v>
      </c>
      <c r="B70" s="2" t="s">
        <v>136</v>
      </c>
      <c r="C70" s="3" t="s">
        <v>137</v>
      </c>
      <c r="D70" s="2">
        <v>1</v>
      </c>
      <c r="E70" s="3"/>
      <c r="F70" s="2">
        <v>5</v>
      </c>
      <c r="G70" s="2">
        <v>5</v>
      </c>
      <c r="H70" s="2">
        <v>5</v>
      </c>
      <c r="I70" s="2">
        <v>5</v>
      </c>
    </row>
    <row r="71" spans="1:9" x14ac:dyDescent="0.25">
      <c r="A71" s="31" t="s">
        <v>138</v>
      </c>
      <c r="B71" s="32"/>
      <c r="C71" s="32"/>
      <c r="D71" s="32"/>
      <c r="E71" s="32"/>
      <c r="F71" s="32"/>
      <c r="G71" s="32"/>
      <c r="H71" s="32"/>
      <c r="I71" s="32"/>
    </row>
    <row r="72" spans="1:9" x14ac:dyDescent="0.25">
      <c r="A72" s="2">
        <v>63</v>
      </c>
      <c r="B72" s="2" t="s">
        <v>139</v>
      </c>
      <c r="C72" s="3" t="s">
        <v>140</v>
      </c>
      <c r="D72" s="2">
        <v>1</v>
      </c>
      <c r="E72" s="3"/>
      <c r="F72" s="2">
        <v>5</v>
      </c>
      <c r="G72" s="2">
        <v>5</v>
      </c>
      <c r="H72" s="2">
        <v>4</v>
      </c>
      <c r="I72" s="2">
        <v>5</v>
      </c>
    </row>
    <row r="73" spans="1:9" x14ac:dyDescent="0.25">
      <c r="A73" s="4">
        <v>64</v>
      </c>
      <c r="B73" s="4" t="s">
        <v>141</v>
      </c>
      <c r="C73" s="5" t="s">
        <v>142</v>
      </c>
      <c r="D73" s="4">
        <v>1</v>
      </c>
      <c r="E73" s="5"/>
      <c r="F73" s="4">
        <v>5</v>
      </c>
      <c r="G73" s="4">
        <v>5</v>
      </c>
      <c r="H73" s="4">
        <v>5</v>
      </c>
      <c r="I73" s="4">
        <v>5</v>
      </c>
    </row>
    <row r="74" spans="1:9" x14ac:dyDescent="0.25">
      <c r="A74" s="2">
        <v>65</v>
      </c>
      <c r="B74" s="2" t="s">
        <v>143</v>
      </c>
      <c r="C74" s="3" t="s">
        <v>144</v>
      </c>
      <c r="D74" s="2">
        <v>1</v>
      </c>
      <c r="E74" s="3"/>
      <c r="F74" s="2">
        <v>1</v>
      </c>
      <c r="G74" s="2" t="s">
        <v>16</v>
      </c>
      <c r="H74" s="2" t="s">
        <v>16</v>
      </c>
      <c r="I74" s="2">
        <v>1</v>
      </c>
    </row>
    <row r="75" spans="1:9" x14ac:dyDescent="0.25">
      <c r="A75" s="4">
        <v>66</v>
      </c>
      <c r="B75" s="4" t="s">
        <v>145</v>
      </c>
      <c r="C75" s="5" t="s">
        <v>146</v>
      </c>
      <c r="D75" s="4">
        <v>1</v>
      </c>
      <c r="E75" s="5"/>
      <c r="F75" s="4">
        <v>5</v>
      </c>
      <c r="G75" s="4">
        <v>4</v>
      </c>
      <c r="H75" s="4">
        <v>5</v>
      </c>
      <c r="I75" s="4">
        <v>5</v>
      </c>
    </row>
    <row r="76" spans="1:9" x14ac:dyDescent="0.25">
      <c r="A76" s="2">
        <v>67</v>
      </c>
      <c r="B76" s="2" t="s">
        <v>147</v>
      </c>
      <c r="C76" s="3" t="s">
        <v>148</v>
      </c>
      <c r="D76" s="2">
        <v>1</v>
      </c>
      <c r="E76" s="3"/>
      <c r="F76" s="2">
        <v>5</v>
      </c>
      <c r="G76" s="2">
        <v>4</v>
      </c>
      <c r="H76" s="2">
        <v>4</v>
      </c>
      <c r="I76" s="2">
        <v>5</v>
      </c>
    </row>
    <row r="77" spans="1:9" x14ac:dyDescent="0.25">
      <c r="A77" s="4">
        <v>68</v>
      </c>
      <c r="B77" s="4" t="s">
        <v>149</v>
      </c>
      <c r="C77" s="5" t="s">
        <v>150</v>
      </c>
      <c r="D77" s="4">
        <v>1</v>
      </c>
      <c r="E77" s="5"/>
      <c r="F77" s="4">
        <v>2</v>
      </c>
      <c r="G77" s="4">
        <v>3</v>
      </c>
      <c r="H77" s="4">
        <v>4</v>
      </c>
      <c r="I77" s="4">
        <v>4</v>
      </c>
    </row>
    <row r="78" spans="1:9" x14ac:dyDescent="0.25">
      <c r="A78" s="2">
        <v>69</v>
      </c>
      <c r="B78" s="2" t="s">
        <v>151</v>
      </c>
      <c r="C78" s="3" t="s">
        <v>152</v>
      </c>
      <c r="D78" s="2">
        <v>1</v>
      </c>
      <c r="E78" s="3"/>
      <c r="F78" s="2">
        <v>4</v>
      </c>
      <c r="G78" s="2">
        <v>4</v>
      </c>
      <c r="H78" s="2">
        <v>4</v>
      </c>
      <c r="I78" s="2">
        <v>4</v>
      </c>
    </row>
    <row r="79" spans="1:9" x14ac:dyDescent="0.25">
      <c r="A79" s="4">
        <v>70</v>
      </c>
      <c r="B79" s="4" t="s">
        <v>153</v>
      </c>
      <c r="C79" s="5" t="s">
        <v>154</v>
      </c>
      <c r="D79" s="4">
        <v>1</v>
      </c>
      <c r="E79" s="5"/>
      <c r="F79" s="4">
        <v>5</v>
      </c>
      <c r="G79" s="4">
        <v>5</v>
      </c>
      <c r="H79" s="4">
        <v>5</v>
      </c>
      <c r="I79" s="4">
        <v>5</v>
      </c>
    </row>
    <row r="80" spans="1:9" x14ac:dyDescent="0.25">
      <c r="A80" s="2">
        <v>71</v>
      </c>
      <c r="B80" s="2" t="s">
        <v>155</v>
      </c>
      <c r="C80" s="3" t="s">
        <v>156</v>
      </c>
      <c r="D80" s="2">
        <v>2</v>
      </c>
      <c r="E80" s="3"/>
      <c r="F80" s="2">
        <v>3</v>
      </c>
      <c r="G80" s="2">
        <v>4</v>
      </c>
      <c r="H80" s="2">
        <v>3</v>
      </c>
      <c r="I80" s="2">
        <v>6</v>
      </c>
    </row>
    <row r="81" spans="1:9" x14ac:dyDescent="0.25">
      <c r="A81" s="31" t="s">
        <v>157</v>
      </c>
      <c r="B81" s="32"/>
      <c r="C81" s="32"/>
      <c r="D81" s="32"/>
      <c r="E81" s="32"/>
      <c r="F81" s="32"/>
      <c r="G81" s="32"/>
      <c r="H81" s="32"/>
      <c r="I81" s="32"/>
    </row>
    <row r="82" spans="1:9" x14ac:dyDescent="0.25">
      <c r="A82" s="2">
        <v>72</v>
      </c>
      <c r="B82" s="2" t="s">
        <v>158</v>
      </c>
      <c r="C82" s="3" t="s">
        <v>159</v>
      </c>
      <c r="D82" s="2">
        <v>1</v>
      </c>
      <c r="E82" s="3"/>
      <c r="F82" s="2">
        <v>5</v>
      </c>
      <c r="G82" s="2">
        <v>5</v>
      </c>
      <c r="H82" s="2">
        <v>4</v>
      </c>
      <c r="I82" s="2">
        <v>5</v>
      </c>
    </row>
    <row r="83" spans="1:9" x14ac:dyDescent="0.25">
      <c r="A83" s="4">
        <v>73</v>
      </c>
      <c r="B83" s="4" t="s">
        <v>160</v>
      </c>
      <c r="C83" s="5" t="s">
        <v>161</v>
      </c>
      <c r="D83" s="4">
        <v>1</v>
      </c>
      <c r="E83" s="5"/>
      <c r="F83" s="4">
        <v>5</v>
      </c>
      <c r="G83" s="4">
        <v>5</v>
      </c>
      <c r="H83" s="4">
        <v>5</v>
      </c>
      <c r="I83" s="4">
        <v>5</v>
      </c>
    </row>
    <row r="84" spans="1:9" x14ac:dyDescent="0.25">
      <c r="A84" s="2">
        <v>74</v>
      </c>
      <c r="B84" s="2" t="s">
        <v>162</v>
      </c>
      <c r="C84" s="3" t="s">
        <v>163</v>
      </c>
      <c r="D84" s="2">
        <v>1</v>
      </c>
      <c r="E84" s="3"/>
      <c r="F84" s="2">
        <v>4</v>
      </c>
      <c r="G84" s="2">
        <v>5</v>
      </c>
      <c r="H84" s="2">
        <v>5</v>
      </c>
      <c r="I84" s="2">
        <v>5</v>
      </c>
    </row>
    <row r="85" spans="1:9" ht="24" x14ac:dyDescent="0.25">
      <c r="A85" s="4">
        <v>75</v>
      </c>
      <c r="B85" s="4" t="s">
        <v>164</v>
      </c>
      <c r="C85" s="5" t="s">
        <v>165</v>
      </c>
      <c r="D85" s="4">
        <v>1</v>
      </c>
      <c r="E85" s="5"/>
      <c r="F85" s="4">
        <v>5</v>
      </c>
      <c r="G85" s="4">
        <v>5</v>
      </c>
      <c r="H85" s="4">
        <v>5</v>
      </c>
      <c r="I85" s="4">
        <v>5</v>
      </c>
    </row>
    <row r="86" spans="1:9" x14ac:dyDescent="0.25">
      <c r="A86" s="2">
        <v>76</v>
      </c>
      <c r="B86" s="2" t="s">
        <v>166</v>
      </c>
      <c r="C86" s="3" t="s">
        <v>167</v>
      </c>
      <c r="D86" s="2">
        <v>1</v>
      </c>
      <c r="E86" s="3"/>
      <c r="F86" s="2">
        <v>4</v>
      </c>
      <c r="G86" s="2">
        <v>5</v>
      </c>
      <c r="H86" s="2">
        <v>4</v>
      </c>
      <c r="I86" s="2">
        <v>5</v>
      </c>
    </row>
    <row r="87" spans="1:9" x14ac:dyDescent="0.25">
      <c r="A87" s="4">
        <v>77</v>
      </c>
      <c r="B87" s="4" t="s">
        <v>168</v>
      </c>
      <c r="C87" s="5" t="s">
        <v>169</v>
      </c>
      <c r="D87" s="4">
        <v>1</v>
      </c>
      <c r="E87" s="5"/>
      <c r="F87" s="4">
        <v>5</v>
      </c>
      <c r="G87" s="4">
        <v>5</v>
      </c>
      <c r="H87" s="4">
        <v>4</v>
      </c>
      <c r="I87" s="4">
        <v>5</v>
      </c>
    </row>
    <row r="88" spans="1:9" x14ac:dyDescent="0.25">
      <c r="A88" s="2">
        <v>78</v>
      </c>
      <c r="B88" s="2" t="s">
        <v>170</v>
      </c>
      <c r="C88" s="3" t="s">
        <v>171</v>
      </c>
      <c r="D88" s="2">
        <v>1</v>
      </c>
      <c r="E88" s="3"/>
      <c r="F88" s="2">
        <v>4</v>
      </c>
      <c r="G88" s="2">
        <v>5</v>
      </c>
      <c r="H88" s="2">
        <v>4</v>
      </c>
      <c r="I88" s="2">
        <v>5</v>
      </c>
    </row>
    <row r="89" spans="1:9" x14ac:dyDescent="0.25">
      <c r="A89" s="4">
        <v>79</v>
      </c>
      <c r="B89" s="4" t="s">
        <v>172</v>
      </c>
      <c r="C89" s="5" t="s">
        <v>173</v>
      </c>
      <c r="D89" s="4">
        <v>1</v>
      </c>
      <c r="E89" s="5"/>
      <c r="F89" s="4">
        <v>4</v>
      </c>
      <c r="G89" s="4">
        <v>4</v>
      </c>
      <c r="H89" s="4">
        <v>5</v>
      </c>
      <c r="I89" s="4">
        <v>5</v>
      </c>
    </row>
    <row r="90" spans="1:9" x14ac:dyDescent="0.25">
      <c r="A90" s="2">
        <v>80</v>
      </c>
      <c r="B90" s="2" t="s">
        <v>174</v>
      </c>
      <c r="C90" s="3" t="s">
        <v>175</v>
      </c>
      <c r="D90" s="2">
        <v>1</v>
      </c>
      <c r="E90" s="3"/>
      <c r="F90" s="2">
        <v>5</v>
      </c>
      <c r="G90" s="2">
        <v>5</v>
      </c>
      <c r="H90" s="2">
        <v>5</v>
      </c>
      <c r="I90" s="2">
        <v>5</v>
      </c>
    </row>
    <row r="91" spans="1:9" x14ac:dyDescent="0.25">
      <c r="A91" s="4">
        <v>81</v>
      </c>
      <c r="B91" s="4" t="s">
        <v>176</v>
      </c>
      <c r="C91" s="5" t="s">
        <v>177</v>
      </c>
      <c r="D91" s="4">
        <v>1</v>
      </c>
      <c r="E91" s="5"/>
      <c r="F91" s="4">
        <v>5</v>
      </c>
      <c r="G91" s="4">
        <v>5</v>
      </c>
      <c r="H91" s="4">
        <v>5</v>
      </c>
      <c r="I91" s="4">
        <v>5</v>
      </c>
    </row>
    <row r="92" spans="1:9" x14ac:dyDescent="0.25">
      <c r="A92" s="2">
        <v>82</v>
      </c>
      <c r="B92" s="2" t="s">
        <v>178</v>
      </c>
      <c r="C92" s="3" t="s">
        <v>179</v>
      </c>
      <c r="D92" s="2">
        <v>1</v>
      </c>
      <c r="E92" s="3"/>
      <c r="F92" s="2">
        <v>5</v>
      </c>
      <c r="G92" s="2">
        <v>5</v>
      </c>
      <c r="H92" s="2">
        <v>5</v>
      </c>
      <c r="I92" s="2">
        <v>5</v>
      </c>
    </row>
    <row r="93" spans="1:9" x14ac:dyDescent="0.25">
      <c r="A93" s="4">
        <v>83</v>
      </c>
      <c r="B93" s="4" t="s">
        <v>180</v>
      </c>
      <c r="C93" s="5" t="s">
        <v>181</v>
      </c>
      <c r="D93" s="4">
        <v>1</v>
      </c>
      <c r="E93" s="5"/>
      <c r="F93" s="4">
        <v>5</v>
      </c>
      <c r="G93" s="4">
        <v>5</v>
      </c>
      <c r="H93" s="4">
        <v>5</v>
      </c>
      <c r="I93" s="4">
        <v>5</v>
      </c>
    </row>
    <row r="94" spans="1:9" x14ac:dyDescent="0.25">
      <c r="A94" s="2">
        <v>84</v>
      </c>
      <c r="B94" s="2" t="s">
        <v>182</v>
      </c>
      <c r="C94" s="3" t="s">
        <v>183</v>
      </c>
      <c r="D94" s="2">
        <v>1</v>
      </c>
      <c r="E94" s="3"/>
      <c r="F94" s="2">
        <v>5</v>
      </c>
      <c r="G94" s="2">
        <v>5</v>
      </c>
      <c r="H94" s="2">
        <v>5</v>
      </c>
      <c r="I94" s="2">
        <v>5</v>
      </c>
    </row>
    <row r="95" spans="1:9" x14ac:dyDescent="0.25">
      <c r="A95" s="4">
        <v>85</v>
      </c>
      <c r="B95" s="4" t="s">
        <v>184</v>
      </c>
      <c r="C95" s="5" t="s">
        <v>185</v>
      </c>
      <c r="D95" s="4">
        <v>1</v>
      </c>
      <c r="E95" s="5"/>
      <c r="F95" s="4">
        <v>4</v>
      </c>
      <c r="G95" s="4">
        <v>5</v>
      </c>
      <c r="H95" s="4">
        <v>4</v>
      </c>
      <c r="I95" s="4">
        <v>5</v>
      </c>
    </row>
    <row r="96" spans="1:9" x14ac:dyDescent="0.25">
      <c r="A96" s="31" t="s">
        <v>186</v>
      </c>
      <c r="B96" s="32"/>
      <c r="C96" s="32"/>
      <c r="D96" s="32"/>
      <c r="E96" s="32"/>
      <c r="F96" s="32"/>
      <c r="G96" s="32"/>
      <c r="H96" s="32"/>
      <c r="I96" s="32"/>
    </row>
    <row r="97" spans="1:9" x14ac:dyDescent="0.25">
      <c r="A97" s="4">
        <v>86</v>
      </c>
      <c r="B97" s="4" t="s">
        <v>187</v>
      </c>
      <c r="C97" s="5" t="s">
        <v>188</v>
      </c>
      <c r="D97" s="4">
        <v>1</v>
      </c>
      <c r="E97" s="5"/>
      <c r="F97" s="4">
        <v>5</v>
      </c>
      <c r="G97" s="4">
        <v>5</v>
      </c>
      <c r="H97" s="4">
        <v>5</v>
      </c>
      <c r="I97" s="4">
        <v>5</v>
      </c>
    </row>
    <row r="98" spans="1:9" x14ac:dyDescent="0.25">
      <c r="A98" s="2">
        <v>87</v>
      </c>
      <c r="B98" s="2" t="s">
        <v>189</v>
      </c>
      <c r="C98" s="3" t="s">
        <v>190</v>
      </c>
      <c r="D98" s="2">
        <v>1</v>
      </c>
      <c r="E98" s="3"/>
      <c r="F98" s="2">
        <v>5</v>
      </c>
      <c r="G98" s="2">
        <v>5</v>
      </c>
      <c r="H98" s="2">
        <v>5</v>
      </c>
      <c r="I98" s="2">
        <v>5</v>
      </c>
    </row>
    <row r="99" spans="1:9" x14ac:dyDescent="0.25">
      <c r="A99" s="4">
        <v>88</v>
      </c>
      <c r="B99" s="4" t="s">
        <v>191</v>
      </c>
      <c r="C99" s="5" t="s">
        <v>192</v>
      </c>
      <c r="D99" s="4">
        <v>1</v>
      </c>
      <c r="E99" s="5"/>
      <c r="F99" s="4">
        <v>1</v>
      </c>
      <c r="G99" s="4" t="s">
        <v>16</v>
      </c>
      <c r="H99" s="4" t="s">
        <v>16</v>
      </c>
      <c r="I99" s="4">
        <v>1</v>
      </c>
    </row>
    <row r="100" spans="1:9" x14ac:dyDescent="0.25">
      <c r="A100" s="2">
        <v>89</v>
      </c>
      <c r="B100" s="2" t="s">
        <v>193</v>
      </c>
      <c r="C100" s="3" t="s">
        <v>194</v>
      </c>
      <c r="D100" s="2">
        <v>2</v>
      </c>
      <c r="E100" s="3"/>
      <c r="F100" s="2">
        <v>5</v>
      </c>
      <c r="G100" s="2">
        <v>4</v>
      </c>
      <c r="H100" s="2">
        <v>5</v>
      </c>
      <c r="I100" s="2">
        <v>10</v>
      </c>
    </row>
    <row r="101" spans="1:9" x14ac:dyDescent="0.25">
      <c r="A101" s="4">
        <v>90</v>
      </c>
      <c r="B101" s="4" t="s">
        <v>195</v>
      </c>
      <c r="C101" s="5" t="s">
        <v>196</v>
      </c>
      <c r="D101" s="4">
        <v>2</v>
      </c>
      <c r="E101" s="5"/>
      <c r="F101" s="4">
        <v>1</v>
      </c>
      <c r="G101" s="4" t="s">
        <v>16</v>
      </c>
      <c r="H101" s="4" t="s">
        <v>16</v>
      </c>
      <c r="I101" s="4">
        <v>2</v>
      </c>
    </row>
    <row r="102" spans="1:9" x14ac:dyDescent="0.25">
      <c r="A102" s="2">
        <v>91</v>
      </c>
      <c r="B102" s="2" t="s">
        <v>197</v>
      </c>
      <c r="C102" s="3" t="s">
        <v>198</v>
      </c>
      <c r="D102" s="2">
        <v>1</v>
      </c>
      <c r="E102" s="3"/>
      <c r="F102" s="2">
        <v>5</v>
      </c>
      <c r="G102" s="2">
        <v>5</v>
      </c>
      <c r="H102" s="2">
        <v>5</v>
      </c>
      <c r="I102" s="2">
        <v>5</v>
      </c>
    </row>
    <row r="103" spans="1:9" x14ac:dyDescent="0.25">
      <c r="A103" s="4">
        <v>92</v>
      </c>
      <c r="B103" s="4" t="s">
        <v>199</v>
      </c>
      <c r="C103" s="5" t="s">
        <v>200</v>
      </c>
      <c r="D103" s="4">
        <v>1</v>
      </c>
      <c r="E103" s="5"/>
      <c r="F103" s="4">
        <v>5</v>
      </c>
      <c r="G103" s="4">
        <v>5</v>
      </c>
      <c r="H103" s="4">
        <v>5</v>
      </c>
      <c r="I103" s="4">
        <v>5</v>
      </c>
    </row>
    <row r="104" spans="1:9" x14ac:dyDescent="0.25">
      <c r="A104" s="2">
        <v>93</v>
      </c>
      <c r="B104" s="2" t="s">
        <v>201</v>
      </c>
      <c r="C104" s="3" t="s">
        <v>202</v>
      </c>
      <c r="D104" s="2">
        <v>1</v>
      </c>
      <c r="E104" s="3"/>
      <c r="F104" s="2">
        <v>4</v>
      </c>
      <c r="G104" s="2">
        <v>5</v>
      </c>
      <c r="H104" s="2">
        <v>5</v>
      </c>
      <c r="I104" s="2">
        <v>5</v>
      </c>
    </row>
    <row r="105" spans="1:9" x14ac:dyDescent="0.25">
      <c r="A105" s="4">
        <v>94</v>
      </c>
      <c r="B105" s="4" t="s">
        <v>203</v>
      </c>
      <c r="C105" s="5" t="s">
        <v>204</v>
      </c>
      <c r="D105" s="4">
        <v>1</v>
      </c>
      <c r="E105" s="5"/>
      <c r="F105" s="4">
        <v>3</v>
      </c>
      <c r="G105" s="4">
        <v>4</v>
      </c>
      <c r="H105" s="4">
        <v>5</v>
      </c>
      <c r="I105" s="4">
        <v>5</v>
      </c>
    </row>
    <row r="106" spans="1:9" x14ac:dyDescent="0.25">
      <c r="A106" s="2">
        <v>95</v>
      </c>
      <c r="B106" s="2" t="s">
        <v>205</v>
      </c>
      <c r="C106" s="3" t="s">
        <v>206</v>
      </c>
      <c r="D106" s="2">
        <v>2</v>
      </c>
      <c r="E106" s="3"/>
      <c r="F106" s="2">
        <v>2</v>
      </c>
      <c r="G106" s="2">
        <v>3</v>
      </c>
      <c r="H106" s="2">
        <v>4</v>
      </c>
      <c r="I106" s="2">
        <v>8</v>
      </c>
    </row>
    <row r="107" spans="1:9" x14ac:dyDescent="0.25">
      <c r="A107" s="4">
        <v>96</v>
      </c>
      <c r="B107" s="4" t="s">
        <v>207</v>
      </c>
      <c r="C107" s="5" t="s">
        <v>208</v>
      </c>
      <c r="D107" s="4">
        <v>2</v>
      </c>
      <c r="E107" s="5"/>
      <c r="F107" s="4">
        <v>1</v>
      </c>
      <c r="G107" s="4" t="s">
        <v>16</v>
      </c>
      <c r="H107" s="4" t="s">
        <v>16</v>
      </c>
      <c r="I107" s="4">
        <v>2</v>
      </c>
    </row>
    <row r="108" spans="1:9" x14ac:dyDescent="0.25">
      <c r="A108" s="2">
        <v>97</v>
      </c>
      <c r="B108" s="2" t="s">
        <v>209</v>
      </c>
      <c r="C108" s="3" t="s">
        <v>210</v>
      </c>
      <c r="D108" s="2">
        <v>1</v>
      </c>
      <c r="E108" s="3"/>
      <c r="F108" s="2">
        <v>5</v>
      </c>
      <c r="G108" s="2">
        <v>5</v>
      </c>
      <c r="H108" s="2">
        <v>5</v>
      </c>
      <c r="I108" s="2">
        <v>5</v>
      </c>
    </row>
    <row r="109" spans="1:9" x14ac:dyDescent="0.25">
      <c r="A109" s="4">
        <v>98</v>
      </c>
      <c r="B109" s="4" t="s">
        <v>211</v>
      </c>
      <c r="C109" s="5" t="s">
        <v>212</v>
      </c>
      <c r="D109" s="4">
        <v>1</v>
      </c>
      <c r="E109" s="5"/>
      <c r="F109" s="4">
        <v>4</v>
      </c>
      <c r="G109" s="4">
        <v>4</v>
      </c>
      <c r="H109" s="4">
        <v>5</v>
      </c>
      <c r="I109" s="4">
        <v>5</v>
      </c>
    </row>
    <row r="110" spans="1:9" x14ac:dyDescent="0.25">
      <c r="A110" s="2">
        <v>99</v>
      </c>
      <c r="B110" s="2" t="s">
        <v>213</v>
      </c>
      <c r="C110" s="3" t="s">
        <v>214</v>
      </c>
      <c r="D110" s="2">
        <v>1</v>
      </c>
      <c r="E110" s="3"/>
      <c r="F110" s="2">
        <v>5</v>
      </c>
      <c r="G110" s="2">
        <v>5</v>
      </c>
      <c r="H110" s="2">
        <v>5</v>
      </c>
      <c r="I110" s="2">
        <v>5</v>
      </c>
    </row>
    <row r="111" spans="1:9" x14ac:dyDescent="0.25">
      <c r="A111" s="4">
        <v>100</v>
      </c>
      <c r="B111" s="4" t="s">
        <v>215</v>
      </c>
      <c r="C111" s="5" t="s">
        <v>216</v>
      </c>
      <c r="D111" s="4">
        <v>2</v>
      </c>
      <c r="E111" s="5"/>
      <c r="F111" s="4">
        <v>4</v>
      </c>
      <c r="G111" s="4">
        <v>4</v>
      </c>
      <c r="H111" s="4">
        <v>5</v>
      </c>
      <c r="I111" s="4">
        <v>10</v>
      </c>
    </row>
    <row r="112" spans="1:9" ht="30" customHeight="1" x14ac:dyDescent="0.25">
      <c r="A112" s="33"/>
      <c r="B112" s="32"/>
      <c r="C112" s="32"/>
      <c r="D112" s="32"/>
      <c r="E112" s="32"/>
      <c r="F112" s="32"/>
      <c r="G112" s="32"/>
      <c r="H112" s="32"/>
      <c r="I112" s="32"/>
    </row>
  </sheetData>
  <mergeCells count="11">
    <mergeCell ref="A81:I81"/>
    <mergeCell ref="A5:I5"/>
    <mergeCell ref="A112:I112"/>
    <mergeCell ref="A1:I1"/>
    <mergeCell ref="F3:H3"/>
    <mergeCell ref="A96:I96"/>
    <mergeCell ref="A43:I43"/>
    <mergeCell ref="A57:I57"/>
    <mergeCell ref="A19:I19"/>
    <mergeCell ref="A2:I2"/>
    <mergeCell ref="A71:I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showGridLines="0" topLeftCell="A52" workbookViewId="0">
      <selection activeCell="C67" sqref="C67"/>
    </sheetView>
  </sheetViews>
  <sheetFormatPr baseColWidth="10" defaultColWidth="9.140625" defaultRowHeight="15" x14ac:dyDescent="0.25"/>
  <cols>
    <col min="1" max="1" width="11.42578125" customWidth="1"/>
    <col min="2" max="2" width="7" customWidth="1"/>
    <col min="3" max="3" width="42" customWidth="1"/>
    <col min="4" max="4" width="4.5703125" customWidth="1"/>
    <col min="5" max="11" width="4" customWidth="1"/>
    <col min="12" max="12" width="5.5703125" customWidth="1"/>
    <col min="13" max="14" width="4" customWidth="1"/>
    <col min="15" max="15" width="6" customWidth="1"/>
    <col min="16" max="20" width="4" customWidth="1"/>
    <col min="21" max="21" width="5.140625" customWidth="1"/>
    <col min="22" max="23" width="4" customWidth="1"/>
    <col min="24" max="24" width="5.7109375" customWidth="1"/>
    <col min="25" max="26" width="4" customWidth="1"/>
    <col min="27" max="27" width="4.5703125" customWidth="1"/>
  </cols>
  <sheetData>
    <row r="1" spans="1:27" ht="27.95" customHeight="1" x14ac:dyDescent="0.25">
      <c r="A1" s="43" t="s">
        <v>685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spans="1:27" ht="18" customHeight="1" x14ac:dyDescent="0.25">
      <c r="A2" s="41" t="s">
        <v>217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112.5" customHeight="1" x14ac:dyDescent="0.25">
      <c r="A3" s="6" t="s">
        <v>218</v>
      </c>
      <c r="B3" s="6" t="s">
        <v>2</v>
      </c>
      <c r="C3" s="6" t="s">
        <v>219</v>
      </c>
      <c r="D3" s="38" t="s">
        <v>220</v>
      </c>
      <c r="E3" s="39"/>
      <c r="F3" s="40"/>
      <c r="G3" s="38" t="s">
        <v>221</v>
      </c>
      <c r="H3" s="39"/>
      <c r="I3" s="40"/>
      <c r="J3" s="38" t="s">
        <v>222</v>
      </c>
      <c r="K3" s="39"/>
      <c r="L3" s="40"/>
      <c r="M3" s="38" t="s">
        <v>223</v>
      </c>
      <c r="N3" s="39"/>
      <c r="O3" s="40"/>
      <c r="P3" s="38" t="s">
        <v>224</v>
      </c>
      <c r="Q3" s="39"/>
      <c r="R3" s="40"/>
      <c r="S3" s="38" t="s">
        <v>225</v>
      </c>
      <c r="T3" s="39"/>
      <c r="U3" s="40"/>
      <c r="V3" s="38" t="s">
        <v>226</v>
      </c>
      <c r="W3" s="39"/>
      <c r="X3" s="40"/>
      <c r="Y3" s="38" t="s">
        <v>227</v>
      </c>
      <c r="Z3" s="39"/>
      <c r="AA3" s="40"/>
    </row>
    <row r="4" spans="1:27" x14ac:dyDescent="0.25">
      <c r="A4" s="7"/>
      <c r="B4" s="7"/>
      <c r="C4" s="7"/>
      <c r="D4" s="7" t="s">
        <v>5</v>
      </c>
      <c r="E4" s="7" t="s">
        <v>6</v>
      </c>
      <c r="F4" s="7" t="s">
        <v>7</v>
      </c>
      <c r="G4" s="7" t="s">
        <v>5</v>
      </c>
      <c r="H4" s="7" t="s">
        <v>6</v>
      </c>
      <c r="I4" s="7" t="s">
        <v>7</v>
      </c>
      <c r="J4" s="7" t="s">
        <v>5</v>
      </c>
      <c r="K4" s="7" t="s">
        <v>6</v>
      </c>
      <c r="L4" s="7" t="s">
        <v>7</v>
      </c>
      <c r="M4" s="7" t="s">
        <v>5</v>
      </c>
      <c r="N4" s="7" t="s">
        <v>6</v>
      </c>
      <c r="O4" s="7" t="s">
        <v>7</v>
      </c>
      <c r="P4" s="7" t="s">
        <v>5</v>
      </c>
      <c r="Q4" s="7" t="s">
        <v>6</v>
      </c>
      <c r="R4" s="7" t="s">
        <v>7</v>
      </c>
      <c r="S4" s="7" t="s">
        <v>5</v>
      </c>
      <c r="T4" s="7" t="s">
        <v>6</v>
      </c>
      <c r="U4" s="7" t="s">
        <v>7</v>
      </c>
      <c r="V4" s="7" t="s">
        <v>5</v>
      </c>
      <c r="W4" s="7" t="s">
        <v>6</v>
      </c>
      <c r="X4" s="7" t="s">
        <v>7</v>
      </c>
      <c r="Y4" s="7" t="s">
        <v>5</v>
      </c>
      <c r="Z4" s="7" t="s">
        <v>7</v>
      </c>
      <c r="AA4" s="7" t="s">
        <v>6</v>
      </c>
    </row>
    <row r="5" spans="1:27" x14ac:dyDescent="0.25">
      <c r="A5" s="8" t="s">
        <v>228</v>
      </c>
      <c r="B5" s="9" t="s">
        <v>229</v>
      </c>
      <c r="C5" s="10" t="s">
        <v>230</v>
      </c>
      <c r="D5" s="11"/>
      <c r="E5" s="11"/>
      <c r="F5" s="11"/>
      <c r="G5" s="11"/>
      <c r="H5" s="11"/>
      <c r="I5" s="11"/>
      <c r="J5" s="11"/>
      <c r="K5" s="11"/>
      <c r="L5" s="11"/>
      <c r="M5" s="12" t="s">
        <v>231</v>
      </c>
      <c r="N5" s="11"/>
      <c r="O5" s="11"/>
      <c r="P5" s="12" t="s">
        <v>231</v>
      </c>
      <c r="Q5" s="11"/>
      <c r="R5" s="11"/>
      <c r="S5" s="12" t="s">
        <v>231</v>
      </c>
      <c r="T5" s="11"/>
      <c r="U5" s="11"/>
      <c r="V5" s="12" t="s">
        <v>231</v>
      </c>
      <c r="W5" s="11"/>
      <c r="X5" s="11"/>
      <c r="Y5" s="11"/>
      <c r="Z5" s="11"/>
      <c r="AA5" s="11"/>
    </row>
    <row r="6" spans="1:27" x14ac:dyDescent="0.25">
      <c r="A6" s="13"/>
      <c r="B6" s="13" t="s">
        <v>232</v>
      </c>
      <c r="C6" s="14" t="s">
        <v>233</v>
      </c>
      <c r="D6" s="13"/>
      <c r="E6" s="13"/>
      <c r="F6" s="13"/>
      <c r="G6" s="13"/>
      <c r="H6" s="13"/>
      <c r="I6" s="13"/>
      <c r="J6" s="13"/>
      <c r="K6" s="13"/>
      <c r="L6" s="13"/>
      <c r="M6" s="12" t="s">
        <v>231</v>
      </c>
      <c r="N6" s="13"/>
      <c r="O6" s="13"/>
      <c r="P6" s="12" t="s">
        <v>231</v>
      </c>
      <c r="Q6" s="13"/>
      <c r="R6" s="13"/>
      <c r="S6" s="12" t="s">
        <v>231</v>
      </c>
      <c r="T6" s="13"/>
      <c r="U6" s="13"/>
      <c r="V6" s="12" t="s">
        <v>231</v>
      </c>
      <c r="W6" s="13"/>
      <c r="X6" s="13"/>
      <c r="Y6" s="13"/>
      <c r="Z6" s="13"/>
      <c r="AA6" s="13"/>
    </row>
    <row r="7" spans="1:27" x14ac:dyDescent="0.25">
      <c r="A7" s="11"/>
      <c r="B7" s="11" t="s">
        <v>234</v>
      </c>
      <c r="C7" s="10" t="s">
        <v>235</v>
      </c>
      <c r="D7" s="11"/>
      <c r="E7" s="11"/>
      <c r="F7" s="11"/>
      <c r="G7" s="11"/>
      <c r="H7" s="11"/>
      <c r="I7" s="11"/>
      <c r="J7" s="11"/>
      <c r="K7" s="11"/>
      <c r="L7" s="11"/>
      <c r="M7" s="12" t="s">
        <v>231</v>
      </c>
      <c r="N7" s="11"/>
      <c r="O7" s="11"/>
      <c r="P7" s="12" t="s">
        <v>231</v>
      </c>
      <c r="Q7" s="11"/>
      <c r="R7" s="11"/>
      <c r="S7" s="12" t="s">
        <v>231</v>
      </c>
      <c r="T7" s="11"/>
      <c r="U7" s="11"/>
      <c r="V7" s="12" t="s">
        <v>231</v>
      </c>
      <c r="W7" s="11"/>
      <c r="X7" s="11"/>
      <c r="Y7" s="11"/>
      <c r="Z7" s="11"/>
      <c r="AA7" s="11"/>
    </row>
    <row r="8" spans="1:27" x14ac:dyDescent="0.25">
      <c r="A8" s="8" t="s">
        <v>236</v>
      </c>
      <c r="B8" s="15" t="s">
        <v>237</v>
      </c>
      <c r="C8" s="14" t="s">
        <v>238</v>
      </c>
      <c r="D8" s="13"/>
      <c r="E8" s="13"/>
      <c r="F8" s="13"/>
      <c r="G8" s="13"/>
      <c r="H8" s="13"/>
      <c r="I8" s="13"/>
      <c r="J8" s="13"/>
      <c r="K8" s="13"/>
      <c r="L8" s="13"/>
      <c r="M8" s="12" t="s">
        <v>231</v>
      </c>
      <c r="N8" s="13"/>
      <c r="O8" s="13"/>
      <c r="P8" s="13"/>
      <c r="Q8" s="13"/>
      <c r="R8" s="13"/>
      <c r="S8" s="12" t="s">
        <v>231</v>
      </c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1"/>
      <c r="B9" s="11" t="s">
        <v>239</v>
      </c>
      <c r="C9" s="10" t="s">
        <v>240</v>
      </c>
      <c r="D9" s="12" t="s">
        <v>231</v>
      </c>
      <c r="E9" s="11"/>
      <c r="F9" s="11"/>
      <c r="G9" s="11"/>
      <c r="H9" s="11"/>
      <c r="I9" s="11"/>
      <c r="J9" s="11"/>
      <c r="K9" s="11"/>
      <c r="L9" s="11"/>
      <c r="M9" s="12" t="s">
        <v>231</v>
      </c>
      <c r="N9" s="11"/>
      <c r="O9" s="11"/>
      <c r="P9" s="12" t="s">
        <v>231</v>
      </c>
      <c r="Q9" s="11"/>
      <c r="R9" s="11"/>
      <c r="S9" s="12" t="s">
        <v>231</v>
      </c>
      <c r="T9" s="11"/>
      <c r="U9" s="11"/>
      <c r="V9" s="11"/>
      <c r="W9" s="11"/>
      <c r="X9" s="11"/>
      <c r="Y9" s="11"/>
      <c r="Z9" s="11"/>
      <c r="AA9" s="11"/>
    </row>
    <row r="10" spans="1:27" x14ac:dyDescent="0.25">
      <c r="A10" s="13"/>
      <c r="B10" s="13" t="s">
        <v>241</v>
      </c>
      <c r="C10" s="14" t="s">
        <v>242</v>
      </c>
      <c r="D10" s="13"/>
      <c r="E10" s="13"/>
      <c r="F10" s="13"/>
      <c r="G10" s="13"/>
      <c r="H10" s="13"/>
      <c r="I10" s="13"/>
      <c r="J10" s="13"/>
      <c r="K10" s="13"/>
      <c r="L10" s="13"/>
      <c r="M10" s="12" t="s">
        <v>231</v>
      </c>
      <c r="N10" s="13"/>
      <c r="O10" s="13"/>
      <c r="P10" s="12" t="s">
        <v>231</v>
      </c>
      <c r="Q10" s="13"/>
      <c r="R10" s="13"/>
      <c r="S10" s="12" t="s">
        <v>231</v>
      </c>
      <c r="T10" s="13"/>
      <c r="U10" s="13"/>
      <c r="V10" s="12" t="s">
        <v>231</v>
      </c>
      <c r="W10" s="13"/>
      <c r="X10" s="13"/>
      <c r="Y10" s="13"/>
      <c r="Z10" s="13"/>
      <c r="AA10" s="13"/>
    </row>
    <row r="11" spans="1:27" x14ac:dyDescent="0.25">
      <c r="A11" s="11"/>
      <c r="B11" s="11" t="s">
        <v>243</v>
      </c>
      <c r="C11" s="10" t="s">
        <v>244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 t="s">
        <v>231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x14ac:dyDescent="0.25">
      <c r="A12" s="13"/>
      <c r="B12" s="13" t="s">
        <v>245</v>
      </c>
      <c r="C12" s="14" t="s">
        <v>246</v>
      </c>
      <c r="D12" s="13"/>
      <c r="E12" s="13"/>
      <c r="F12" s="13"/>
      <c r="G12" s="13"/>
      <c r="H12" s="13"/>
      <c r="I12" s="13"/>
      <c r="J12" s="13"/>
      <c r="K12" s="13"/>
      <c r="L12" s="13"/>
      <c r="M12" s="12" t="s">
        <v>231</v>
      </c>
      <c r="N12" s="13"/>
      <c r="O12" s="13"/>
      <c r="P12" s="12" t="s">
        <v>231</v>
      </c>
      <c r="Q12" s="13"/>
      <c r="R12" s="13"/>
      <c r="S12" s="12" t="s">
        <v>231</v>
      </c>
      <c r="T12" s="13"/>
      <c r="U12" s="13"/>
      <c r="V12" s="13"/>
      <c r="W12" s="13"/>
      <c r="X12" s="13"/>
      <c r="Y12" s="13"/>
      <c r="Z12" s="13"/>
      <c r="AA12" s="13"/>
    </row>
    <row r="13" spans="1:27" x14ac:dyDescent="0.25">
      <c r="A13" s="11"/>
      <c r="B13" s="11" t="s">
        <v>247</v>
      </c>
      <c r="C13" s="10" t="s">
        <v>248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 t="s">
        <v>231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x14ac:dyDescent="0.25">
      <c r="A14" s="13"/>
      <c r="B14" s="13" t="s">
        <v>249</v>
      </c>
      <c r="C14" s="14" t="s">
        <v>250</v>
      </c>
      <c r="D14" s="13"/>
      <c r="E14" s="13"/>
      <c r="F14" s="13"/>
      <c r="G14" s="13"/>
      <c r="H14" s="13"/>
      <c r="I14" s="13"/>
      <c r="J14" s="13"/>
      <c r="K14" s="13"/>
      <c r="L14" s="13"/>
      <c r="M14" s="12" t="s">
        <v>231</v>
      </c>
      <c r="N14" s="13"/>
      <c r="O14" s="13"/>
      <c r="P14" s="12" t="s">
        <v>231</v>
      </c>
      <c r="Q14" s="13"/>
      <c r="R14" s="13"/>
      <c r="S14" s="12" t="s">
        <v>231</v>
      </c>
      <c r="T14" s="13"/>
      <c r="U14" s="13"/>
      <c r="V14" s="13"/>
      <c r="W14" s="13"/>
      <c r="X14" s="13"/>
      <c r="Y14" s="13"/>
      <c r="Z14" s="13"/>
      <c r="AA14" s="13"/>
    </row>
    <row r="15" spans="1:27" x14ac:dyDescent="0.25">
      <c r="A15" s="11"/>
      <c r="B15" s="11" t="s">
        <v>251</v>
      </c>
      <c r="C15" s="10" t="s">
        <v>252</v>
      </c>
      <c r="D15" s="11"/>
      <c r="E15" s="11"/>
      <c r="F15" s="11"/>
      <c r="G15" s="11"/>
      <c r="H15" s="11"/>
      <c r="I15" s="11"/>
      <c r="J15" s="11"/>
      <c r="K15" s="11"/>
      <c r="L15" s="11"/>
      <c r="M15" s="12" t="s">
        <v>231</v>
      </c>
      <c r="N15" s="11"/>
      <c r="O15" s="11"/>
      <c r="P15" s="12" t="s">
        <v>231</v>
      </c>
      <c r="Q15" s="11"/>
      <c r="R15" s="11"/>
      <c r="S15" s="12" t="s">
        <v>231</v>
      </c>
      <c r="T15" s="11"/>
      <c r="U15" s="11"/>
      <c r="V15" s="11"/>
      <c r="W15" s="11"/>
      <c r="X15" s="11"/>
      <c r="Y15" s="11"/>
      <c r="Z15" s="11"/>
      <c r="AA15" s="11"/>
    </row>
    <row r="16" spans="1:27" x14ac:dyDescent="0.25">
      <c r="A16" s="8" t="s">
        <v>253</v>
      </c>
      <c r="B16" s="15" t="s">
        <v>254</v>
      </c>
      <c r="C16" s="14" t="s">
        <v>255</v>
      </c>
      <c r="D16" s="13"/>
      <c r="E16" s="12" t="s">
        <v>231</v>
      </c>
      <c r="F16" s="12" t="s">
        <v>231</v>
      </c>
      <c r="G16" s="12" t="s">
        <v>231</v>
      </c>
      <c r="H16" s="12" t="s">
        <v>231</v>
      </c>
      <c r="I16" s="12" t="s">
        <v>231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x14ac:dyDescent="0.25">
      <c r="A17" s="11"/>
      <c r="B17" s="11" t="s">
        <v>256</v>
      </c>
      <c r="C17" s="10" t="s">
        <v>257</v>
      </c>
      <c r="D17" s="11"/>
      <c r="E17" s="11"/>
      <c r="F17" s="11"/>
      <c r="G17" s="12" t="s">
        <v>231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25">
      <c r="A18" s="13"/>
      <c r="B18" s="13" t="s">
        <v>258</v>
      </c>
      <c r="C18" s="14" t="s">
        <v>259</v>
      </c>
      <c r="D18" s="13"/>
      <c r="E18" s="13"/>
      <c r="F18" s="13"/>
      <c r="G18" s="13"/>
      <c r="H18" s="13"/>
      <c r="I18" s="13"/>
      <c r="J18" s="12" t="s">
        <v>231</v>
      </c>
      <c r="K18" s="12" t="s">
        <v>231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x14ac:dyDescent="0.25">
      <c r="A19" s="11"/>
      <c r="B19" s="11" t="s">
        <v>260</v>
      </c>
      <c r="C19" s="10" t="s">
        <v>261</v>
      </c>
      <c r="D19" s="11"/>
      <c r="E19" s="11"/>
      <c r="F19" s="11"/>
      <c r="G19" s="11"/>
      <c r="H19" s="12" t="s">
        <v>231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x14ac:dyDescent="0.25">
      <c r="A20" s="13"/>
      <c r="B20" s="13" t="s">
        <v>262</v>
      </c>
      <c r="C20" s="14" t="s">
        <v>263</v>
      </c>
      <c r="D20" s="12" t="s">
        <v>231</v>
      </c>
      <c r="E20" s="13"/>
      <c r="F20" s="13"/>
      <c r="G20" s="13"/>
      <c r="H20" s="13"/>
      <c r="I20" s="13"/>
      <c r="J20" s="13"/>
      <c r="K20" s="13"/>
      <c r="L20" s="13"/>
      <c r="M20" s="12" t="s">
        <v>231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x14ac:dyDescent="0.25">
      <c r="A21" s="11"/>
      <c r="B21" s="11" t="s">
        <v>264</v>
      </c>
      <c r="C21" s="10" t="s">
        <v>265</v>
      </c>
      <c r="D21" s="11"/>
      <c r="E21" s="11"/>
      <c r="F21" s="11"/>
      <c r="G21" s="11"/>
      <c r="H21" s="11"/>
      <c r="I21" s="12" t="s">
        <v>231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25">
      <c r="A22" s="13"/>
      <c r="B22" s="13" t="s">
        <v>266</v>
      </c>
      <c r="C22" s="14" t="s">
        <v>267</v>
      </c>
      <c r="D22" s="13"/>
      <c r="E22" s="13"/>
      <c r="F22" s="13"/>
      <c r="G22" s="13"/>
      <c r="H22" s="12" t="s">
        <v>231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x14ac:dyDescent="0.25">
      <c r="A23" s="11"/>
      <c r="B23" s="11" t="s">
        <v>268</v>
      </c>
      <c r="C23" s="10" t="s">
        <v>269</v>
      </c>
      <c r="D23" s="11"/>
      <c r="E23" s="11"/>
      <c r="F23" s="11"/>
      <c r="G23" s="11"/>
      <c r="H23" s="11"/>
      <c r="I23" s="11"/>
      <c r="J23" s="12" t="s">
        <v>231</v>
      </c>
      <c r="K23" s="12" t="s">
        <v>231</v>
      </c>
      <c r="L23" s="12" t="s">
        <v>231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x14ac:dyDescent="0.25">
      <c r="A24" s="13"/>
      <c r="B24" s="13" t="s">
        <v>270</v>
      </c>
      <c r="C24" s="14" t="s">
        <v>271</v>
      </c>
      <c r="D24" s="13"/>
      <c r="E24" s="13"/>
      <c r="F24" s="13"/>
      <c r="G24" s="13"/>
      <c r="H24" s="12" t="s">
        <v>231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x14ac:dyDescent="0.25">
      <c r="A25" s="11"/>
      <c r="B25" s="11" t="s">
        <v>272</v>
      </c>
      <c r="C25" s="10" t="s">
        <v>273</v>
      </c>
      <c r="D25" s="12" t="s">
        <v>231</v>
      </c>
      <c r="E25" s="12" t="s">
        <v>231</v>
      </c>
      <c r="F25" s="11"/>
      <c r="G25" s="12" t="s">
        <v>231</v>
      </c>
      <c r="H25" s="12" t="s">
        <v>231</v>
      </c>
      <c r="I25" s="11"/>
      <c r="J25" s="12" t="s">
        <v>231</v>
      </c>
      <c r="K25" s="12" t="s">
        <v>231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x14ac:dyDescent="0.25">
      <c r="A26" s="13"/>
      <c r="B26" s="13" t="s">
        <v>274</v>
      </c>
      <c r="C26" s="14" t="s">
        <v>275</v>
      </c>
      <c r="D26" s="13"/>
      <c r="E26" s="13"/>
      <c r="F26" s="13"/>
      <c r="G26" s="13"/>
      <c r="H26" s="13"/>
      <c r="I26" s="13"/>
      <c r="J26" s="13"/>
      <c r="K26" s="13"/>
      <c r="L26" s="13"/>
      <c r="M26" s="12" t="s">
        <v>231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x14ac:dyDescent="0.25">
      <c r="A27" s="11"/>
      <c r="B27" s="11" t="s">
        <v>276</v>
      </c>
      <c r="C27" s="10" t="s">
        <v>277</v>
      </c>
      <c r="D27" s="11"/>
      <c r="E27" s="12" t="s">
        <v>231</v>
      </c>
      <c r="F27" s="12" t="s">
        <v>231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25">
      <c r="A28" s="13"/>
      <c r="B28" s="13" t="s">
        <v>278</v>
      </c>
      <c r="C28" s="14" t="s">
        <v>279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2" t="s">
        <v>231</v>
      </c>
      <c r="Z28" s="13"/>
      <c r="AA28" s="13"/>
    </row>
    <row r="29" spans="1:27" x14ac:dyDescent="0.25">
      <c r="A29" s="11"/>
      <c r="B29" s="11" t="s">
        <v>280</v>
      </c>
      <c r="C29" s="10" t="s">
        <v>281</v>
      </c>
      <c r="D29" s="12" t="s">
        <v>231</v>
      </c>
      <c r="E29" s="12" t="s">
        <v>231</v>
      </c>
      <c r="F29" s="12" t="s">
        <v>231</v>
      </c>
      <c r="G29" s="12" t="s">
        <v>231</v>
      </c>
      <c r="H29" s="12" t="s">
        <v>231</v>
      </c>
      <c r="I29" s="12" t="s">
        <v>231</v>
      </c>
      <c r="J29" s="12" t="s">
        <v>231</v>
      </c>
      <c r="K29" s="12" t="s">
        <v>231</v>
      </c>
      <c r="L29" s="12" t="s">
        <v>231</v>
      </c>
      <c r="M29" s="12" t="s">
        <v>231</v>
      </c>
      <c r="N29" s="12" t="s">
        <v>231</v>
      </c>
      <c r="O29" s="12" t="s">
        <v>231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25">
      <c r="A30" s="13"/>
      <c r="B30" s="13" t="s">
        <v>282</v>
      </c>
      <c r="C30" s="14" t="s">
        <v>283</v>
      </c>
      <c r="D30" s="13"/>
      <c r="E30" s="12" t="s">
        <v>231</v>
      </c>
      <c r="F30" s="13"/>
      <c r="G30" s="13"/>
      <c r="H30" s="13"/>
      <c r="I30" s="13"/>
      <c r="J30" s="13"/>
      <c r="K30" s="12" t="s">
        <v>231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x14ac:dyDescent="0.25">
      <c r="A31" s="11"/>
      <c r="B31" s="11" t="s">
        <v>284</v>
      </c>
      <c r="C31" s="10" t="s">
        <v>285</v>
      </c>
      <c r="D31" s="11"/>
      <c r="E31" s="11"/>
      <c r="F31" s="11"/>
      <c r="G31" s="11"/>
      <c r="H31" s="11"/>
      <c r="I31" s="11"/>
      <c r="J31" s="12" t="s">
        <v>231</v>
      </c>
      <c r="K31" s="12" t="s">
        <v>231</v>
      </c>
      <c r="L31" s="12" t="s">
        <v>231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25">
      <c r="A32" s="13"/>
      <c r="B32" s="13" t="s">
        <v>286</v>
      </c>
      <c r="C32" s="14" t="s">
        <v>287</v>
      </c>
      <c r="D32" s="13"/>
      <c r="E32" s="13"/>
      <c r="F32" s="13"/>
      <c r="G32" s="13"/>
      <c r="H32" s="13"/>
      <c r="I32" s="12" t="s">
        <v>231</v>
      </c>
      <c r="J32" s="13"/>
      <c r="K32" s="13"/>
      <c r="L32" s="12" t="s">
        <v>231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x14ac:dyDescent="0.25">
      <c r="A33" s="11"/>
      <c r="B33" s="11" t="s">
        <v>288</v>
      </c>
      <c r="C33" s="10" t="s">
        <v>289</v>
      </c>
      <c r="D33" s="12" t="s">
        <v>231</v>
      </c>
      <c r="E33" s="12" t="s">
        <v>231</v>
      </c>
      <c r="F33" s="12" t="s">
        <v>231</v>
      </c>
      <c r="G33" s="11"/>
      <c r="H33" s="11"/>
      <c r="I33" s="11"/>
      <c r="J33" s="12" t="s">
        <v>231</v>
      </c>
      <c r="K33" s="12" t="s">
        <v>231</v>
      </c>
      <c r="L33" s="12" t="s">
        <v>231</v>
      </c>
      <c r="M33" s="12" t="s">
        <v>231</v>
      </c>
      <c r="N33" s="12" t="s">
        <v>231</v>
      </c>
      <c r="O33" s="12" t="s">
        <v>231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x14ac:dyDescent="0.25">
      <c r="A34" s="13"/>
      <c r="B34" s="13" t="s">
        <v>290</v>
      </c>
      <c r="C34" s="14" t="s">
        <v>291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2" t="s">
        <v>231</v>
      </c>
      <c r="Z34" s="13"/>
      <c r="AA34" s="13"/>
    </row>
    <row r="35" spans="1:27" x14ac:dyDescent="0.25">
      <c r="A35" s="8" t="s">
        <v>292</v>
      </c>
      <c r="B35" s="9" t="s">
        <v>293</v>
      </c>
      <c r="C35" s="10" t="s">
        <v>294</v>
      </c>
      <c r="D35" s="12" t="s">
        <v>231</v>
      </c>
      <c r="E35" s="11"/>
      <c r="F35" s="11"/>
      <c r="G35" s="11"/>
      <c r="H35" s="11"/>
      <c r="I35" s="11"/>
      <c r="J35" s="12" t="s">
        <v>231</v>
      </c>
      <c r="K35" s="11"/>
      <c r="L35" s="11"/>
      <c r="M35" s="12" t="s">
        <v>231</v>
      </c>
      <c r="N35" s="11"/>
      <c r="O35" s="11"/>
      <c r="P35" s="12" t="s">
        <v>231</v>
      </c>
      <c r="Q35" s="11"/>
      <c r="R35" s="11"/>
      <c r="S35" s="12" t="s">
        <v>231</v>
      </c>
      <c r="T35" s="11"/>
      <c r="U35" s="11"/>
      <c r="V35" s="11"/>
      <c r="W35" s="11"/>
      <c r="X35" s="11"/>
      <c r="Y35" s="11"/>
      <c r="Z35" s="11"/>
      <c r="AA35" s="11"/>
    </row>
    <row r="36" spans="1:27" x14ac:dyDescent="0.25">
      <c r="A36" s="13"/>
      <c r="B36" s="13" t="s">
        <v>295</v>
      </c>
      <c r="C36" s="14" t="s">
        <v>296</v>
      </c>
      <c r="D36" s="13"/>
      <c r="E36" s="13"/>
      <c r="F36" s="13"/>
      <c r="G36" s="13"/>
      <c r="H36" s="12" t="s">
        <v>231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x14ac:dyDescent="0.25">
      <c r="A37" s="11"/>
      <c r="B37" s="11" t="s">
        <v>297</v>
      </c>
      <c r="C37" s="10" t="s">
        <v>298</v>
      </c>
      <c r="D37" s="11"/>
      <c r="E37" s="11"/>
      <c r="F37" s="11"/>
      <c r="G37" s="11"/>
      <c r="H37" s="12" t="s">
        <v>231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x14ac:dyDescent="0.25">
      <c r="A38" s="13"/>
      <c r="B38" s="13" t="s">
        <v>299</v>
      </c>
      <c r="C38" s="14" t="s">
        <v>300</v>
      </c>
      <c r="D38" s="13"/>
      <c r="E38" s="12" t="s">
        <v>231</v>
      </c>
      <c r="F38" s="12" t="s">
        <v>231</v>
      </c>
      <c r="G38" s="13"/>
      <c r="H38" s="13"/>
      <c r="I38" s="13"/>
      <c r="J38" s="13"/>
      <c r="K38" s="12" t="s">
        <v>231</v>
      </c>
      <c r="L38" s="12" t="s">
        <v>231</v>
      </c>
      <c r="M38" s="13"/>
      <c r="N38" s="12" t="s">
        <v>231</v>
      </c>
      <c r="O38" s="12" t="s">
        <v>231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x14ac:dyDescent="0.25">
      <c r="A39" s="11"/>
      <c r="B39" s="11" t="s">
        <v>301</v>
      </c>
      <c r="C39" s="10" t="s">
        <v>302</v>
      </c>
      <c r="D39" s="11"/>
      <c r="E39" s="11"/>
      <c r="F39" s="11"/>
      <c r="G39" s="11"/>
      <c r="H39" s="12" t="s">
        <v>231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x14ac:dyDescent="0.25">
      <c r="A40" s="13"/>
      <c r="B40" s="13" t="s">
        <v>303</v>
      </c>
      <c r="C40" s="14" t="s">
        <v>304</v>
      </c>
      <c r="D40" s="13"/>
      <c r="E40" s="13"/>
      <c r="F40" s="13"/>
      <c r="G40" s="13"/>
      <c r="H40" s="13"/>
      <c r="I40" s="12" t="s">
        <v>231</v>
      </c>
      <c r="J40" s="13"/>
      <c r="K40" s="12" t="s">
        <v>231</v>
      </c>
      <c r="L40" s="13"/>
      <c r="M40" s="13"/>
      <c r="N40" s="13"/>
      <c r="O40" s="12" t="s">
        <v>231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x14ac:dyDescent="0.25">
      <c r="A41" s="11"/>
      <c r="B41" s="11" t="s">
        <v>305</v>
      </c>
      <c r="C41" s="10" t="s">
        <v>306</v>
      </c>
      <c r="D41" s="12" t="s">
        <v>231</v>
      </c>
      <c r="E41" s="11"/>
      <c r="F41" s="11"/>
      <c r="G41" s="11"/>
      <c r="H41" s="11"/>
      <c r="I41" s="11"/>
      <c r="J41" s="11"/>
      <c r="K41" s="11"/>
      <c r="L41" s="11"/>
      <c r="M41" s="12" t="s">
        <v>231</v>
      </c>
      <c r="N41" s="11"/>
      <c r="O41" s="11"/>
      <c r="P41" s="12" t="s">
        <v>231</v>
      </c>
      <c r="Q41" s="11"/>
      <c r="R41" s="11"/>
      <c r="S41" s="12" t="s">
        <v>231</v>
      </c>
      <c r="T41" s="11"/>
      <c r="U41" s="11"/>
      <c r="V41" s="12" t="s">
        <v>231</v>
      </c>
      <c r="W41" s="11"/>
      <c r="X41" s="11"/>
      <c r="Y41" s="11"/>
      <c r="Z41" s="11"/>
      <c r="AA41" s="11"/>
    </row>
    <row r="42" spans="1:27" x14ac:dyDescent="0.25">
      <c r="A42" s="13"/>
      <c r="B42" s="13" t="s">
        <v>307</v>
      </c>
      <c r="C42" s="14" t="s">
        <v>308</v>
      </c>
      <c r="D42" s="13"/>
      <c r="E42" s="12" t="s">
        <v>231</v>
      </c>
      <c r="F42" s="12" t="s">
        <v>231</v>
      </c>
      <c r="G42" s="13"/>
      <c r="H42" s="13"/>
      <c r="I42" s="13"/>
      <c r="J42" s="13"/>
      <c r="K42" s="12" t="s">
        <v>231</v>
      </c>
      <c r="L42" s="12" t="s">
        <v>231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x14ac:dyDescent="0.25">
      <c r="A43" s="11"/>
      <c r="B43" s="11" t="s">
        <v>309</v>
      </c>
      <c r="C43" s="10" t="s">
        <v>257</v>
      </c>
      <c r="D43" s="11"/>
      <c r="E43" s="11"/>
      <c r="F43" s="11"/>
      <c r="G43" s="12" t="s">
        <v>231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x14ac:dyDescent="0.25">
      <c r="A44" s="13"/>
      <c r="B44" s="13" t="s">
        <v>310</v>
      </c>
      <c r="C44" s="14" t="s">
        <v>311</v>
      </c>
      <c r="D44" s="13"/>
      <c r="E44" s="12" t="s">
        <v>231</v>
      </c>
      <c r="F44" s="12" t="s">
        <v>231</v>
      </c>
      <c r="G44" s="13"/>
      <c r="H44" s="12" t="s">
        <v>231</v>
      </c>
      <c r="I44" s="12" t="s">
        <v>231</v>
      </c>
      <c r="J44" s="13"/>
      <c r="K44" s="12" t="s">
        <v>231</v>
      </c>
      <c r="L44" s="12" t="s">
        <v>231</v>
      </c>
      <c r="M44" s="13"/>
      <c r="N44" s="12" t="s">
        <v>231</v>
      </c>
      <c r="O44" s="12" t="s">
        <v>231</v>
      </c>
      <c r="P44" s="13"/>
      <c r="Q44" s="12" t="s">
        <v>231</v>
      </c>
      <c r="R44" s="12" t="s">
        <v>231</v>
      </c>
      <c r="S44" s="13"/>
      <c r="T44" s="12" t="s">
        <v>231</v>
      </c>
      <c r="U44" s="13"/>
      <c r="V44" s="13"/>
      <c r="W44" s="12" t="s">
        <v>231</v>
      </c>
      <c r="X44" s="12" t="s">
        <v>231</v>
      </c>
      <c r="Y44" s="13"/>
      <c r="Z44" s="13"/>
      <c r="AA44" s="13"/>
    </row>
    <row r="45" spans="1:27" x14ac:dyDescent="0.25">
      <c r="A45" s="11"/>
      <c r="B45" s="11" t="s">
        <v>312</v>
      </c>
      <c r="C45" s="10" t="s">
        <v>313</v>
      </c>
      <c r="D45" s="11"/>
      <c r="E45" s="11"/>
      <c r="F45" s="11"/>
      <c r="G45" s="11"/>
      <c r="H45" s="11"/>
      <c r="I45" s="11"/>
      <c r="J45" s="11"/>
      <c r="K45" s="11"/>
      <c r="L45" s="11"/>
      <c r="M45" s="12" t="s">
        <v>231</v>
      </c>
      <c r="N45" s="11"/>
      <c r="O45" s="12" t="s">
        <v>231</v>
      </c>
      <c r="P45" s="12" t="s">
        <v>231</v>
      </c>
      <c r="Q45" s="11"/>
      <c r="R45" s="12" t="s">
        <v>231</v>
      </c>
      <c r="S45" s="12" t="s">
        <v>231</v>
      </c>
      <c r="T45" s="11"/>
      <c r="U45" s="12" t="s">
        <v>231</v>
      </c>
      <c r="V45" s="12" t="s">
        <v>231</v>
      </c>
      <c r="W45" s="11"/>
      <c r="X45" s="12" t="s">
        <v>231</v>
      </c>
      <c r="Y45" s="11"/>
      <c r="Z45" s="11"/>
      <c r="AA45" s="11"/>
    </row>
    <row r="46" spans="1:27" x14ac:dyDescent="0.25">
      <c r="A46" s="13"/>
      <c r="B46" s="13" t="s">
        <v>314</v>
      </c>
      <c r="C46" s="14" t="s">
        <v>315</v>
      </c>
      <c r="D46" s="12" t="s">
        <v>231</v>
      </c>
      <c r="E46" s="12" t="s">
        <v>231</v>
      </c>
      <c r="F46" s="12" t="s">
        <v>231</v>
      </c>
      <c r="G46" s="12" t="s">
        <v>231</v>
      </c>
      <c r="H46" s="12" t="s">
        <v>231</v>
      </c>
      <c r="I46" s="12" t="s">
        <v>231</v>
      </c>
      <c r="J46" s="12" t="s">
        <v>231</v>
      </c>
      <c r="K46" s="12" t="s">
        <v>231</v>
      </c>
      <c r="L46" s="12" t="s">
        <v>231</v>
      </c>
      <c r="M46" s="12" t="s">
        <v>231</v>
      </c>
      <c r="N46" s="12" t="s">
        <v>231</v>
      </c>
      <c r="O46" s="12" t="s">
        <v>231</v>
      </c>
      <c r="P46" s="12" t="s">
        <v>231</v>
      </c>
      <c r="Q46" s="12" t="s">
        <v>231</v>
      </c>
      <c r="R46" s="12" t="s">
        <v>231</v>
      </c>
      <c r="S46" s="13"/>
      <c r="T46" s="13"/>
      <c r="U46" s="13"/>
      <c r="V46" s="13"/>
      <c r="W46" s="13"/>
      <c r="X46" s="13"/>
      <c r="Y46" s="13"/>
      <c r="Z46" s="13"/>
      <c r="AA46" s="13"/>
    </row>
    <row r="47" spans="1:27" x14ac:dyDescent="0.25">
      <c r="A47" s="11"/>
      <c r="B47" s="11" t="s">
        <v>316</v>
      </c>
      <c r="C47" s="10" t="s">
        <v>317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2" t="s">
        <v>231</v>
      </c>
      <c r="Z47" s="11"/>
      <c r="AA47" s="11"/>
    </row>
    <row r="48" spans="1:27" x14ac:dyDescent="0.25">
      <c r="A48" s="13"/>
      <c r="B48" s="13" t="s">
        <v>318</v>
      </c>
      <c r="C48" s="14" t="s">
        <v>319</v>
      </c>
      <c r="D48" s="13"/>
      <c r="E48" s="13"/>
      <c r="F48" s="13"/>
      <c r="G48" s="13"/>
      <c r="H48" s="13"/>
      <c r="I48" s="12" t="s">
        <v>231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x14ac:dyDescent="0.25">
      <c r="A49" s="11"/>
      <c r="B49" s="11" t="s">
        <v>320</v>
      </c>
      <c r="C49" s="10" t="s">
        <v>321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2" t="s">
        <v>231</v>
      </c>
      <c r="AA49" s="12" t="s">
        <v>231</v>
      </c>
    </row>
    <row r="50" spans="1:27" x14ac:dyDescent="0.25">
      <c r="A50" s="13"/>
      <c r="B50" s="13" t="s">
        <v>322</v>
      </c>
      <c r="C50" s="14" t="s">
        <v>323</v>
      </c>
      <c r="D50" s="13"/>
      <c r="E50" s="12" t="s">
        <v>231</v>
      </c>
      <c r="F50" s="13"/>
      <c r="G50" s="13"/>
      <c r="H50" s="13"/>
      <c r="I50" s="13"/>
      <c r="J50" s="13"/>
      <c r="K50" s="12" t="s">
        <v>231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x14ac:dyDescent="0.25">
      <c r="A51" s="11"/>
      <c r="B51" s="11" t="s">
        <v>324</v>
      </c>
      <c r="C51" s="10" t="s">
        <v>325</v>
      </c>
      <c r="D51" s="11"/>
      <c r="E51" s="11"/>
      <c r="F51" s="11"/>
      <c r="G51" s="11"/>
      <c r="H51" s="11"/>
      <c r="I51" s="11"/>
      <c r="J51" s="11"/>
      <c r="K51" s="11"/>
      <c r="L51" s="11"/>
      <c r="M51" s="12" t="s">
        <v>231</v>
      </c>
      <c r="N51" s="11"/>
      <c r="O51" s="12" t="s">
        <v>231</v>
      </c>
      <c r="P51" s="12" t="s">
        <v>231</v>
      </c>
      <c r="Q51" s="11"/>
      <c r="R51" s="12" t="s">
        <v>231</v>
      </c>
      <c r="S51" s="12" t="s">
        <v>231</v>
      </c>
      <c r="T51" s="11"/>
      <c r="U51" s="12" t="s">
        <v>231</v>
      </c>
      <c r="V51" s="11"/>
      <c r="W51" s="11"/>
      <c r="X51" s="11"/>
      <c r="Y51" s="11"/>
      <c r="Z51" s="11"/>
      <c r="AA51" s="11"/>
    </row>
    <row r="52" spans="1:27" x14ac:dyDescent="0.25">
      <c r="A52" s="13"/>
      <c r="B52" s="13" t="s">
        <v>326</v>
      </c>
      <c r="C52" s="14" t="s">
        <v>327</v>
      </c>
      <c r="D52" s="13"/>
      <c r="E52" s="13"/>
      <c r="F52" s="13"/>
      <c r="G52" s="13"/>
      <c r="H52" s="13"/>
      <c r="I52" s="13"/>
      <c r="J52" s="13"/>
      <c r="K52" s="12" t="s">
        <v>231</v>
      </c>
      <c r="L52" s="12" t="s">
        <v>231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x14ac:dyDescent="0.25">
      <c r="A53" s="11"/>
      <c r="B53" s="11" t="s">
        <v>328</v>
      </c>
      <c r="C53" s="10" t="s">
        <v>329</v>
      </c>
      <c r="D53" s="12" t="s">
        <v>231</v>
      </c>
      <c r="E53" s="11"/>
      <c r="F53" s="11"/>
      <c r="G53" s="11"/>
      <c r="H53" s="11"/>
      <c r="I53" s="11"/>
      <c r="J53" s="11"/>
      <c r="K53" s="11"/>
      <c r="L53" s="11"/>
      <c r="M53" s="12" t="s">
        <v>231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x14ac:dyDescent="0.25">
      <c r="A54" s="13"/>
      <c r="B54" s="13" t="s">
        <v>330</v>
      </c>
      <c r="C54" s="14" t="s">
        <v>331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2" t="s">
        <v>231</v>
      </c>
      <c r="AA54" s="12" t="s">
        <v>231</v>
      </c>
    </row>
    <row r="55" spans="1:27" x14ac:dyDescent="0.25">
      <c r="A55" s="11"/>
      <c r="B55" s="11" t="s">
        <v>332</v>
      </c>
      <c r="C55" s="10" t="s">
        <v>333</v>
      </c>
      <c r="D55" s="11"/>
      <c r="E55" s="11"/>
      <c r="F55" s="11"/>
      <c r="G55" s="11"/>
      <c r="H55" s="11"/>
      <c r="I55" s="11"/>
      <c r="J55" s="12" t="s">
        <v>231</v>
      </c>
      <c r="K55" s="12" t="s">
        <v>231</v>
      </c>
      <c r="L55" s="12" t="s">
        <v>231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x14ac:dyDescent="0.25">
      <c r="A56" s="13"/>
      <c r="B56" s="13" t="s">
        <v>334</v>
      </c>
      <c r="C56" s="14" t="s">
        <v>335</v>
      </c>
      <c r="D56" s="13"/>
      <c r="E56" s="12" t="s">
        <v>231</v>
      </c>
      <c r="F56" s="12" t="s">
        <v>231</v>
      </c>
      <c r="G56" s="13"/>
      <c r="H56" s="13"/>
      <c r="I56" s="13"/>
      <c r="J56" s="13"/>
      <c r="K56" s="12" t="s">
        <v>231</v>
      </c>
      <c r="L56" s="12" t="s">
        <v>231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22.5" x14ac:dyDescent="0.25">
      <c r="A57" s="11"/>
      <c r="B57" s="11" t="s">
        <v>336</v>
      </c>
      <c r="C57" s="10" t="s">
        <v>337</v>
      </c>
      <c r="D57" s="11"/>
      <c r="E57" s="12" t="s">
        <v>231</v>
      </c>
      <c r="F57" s="12" t="s">
        <v>231</v>
      </c>
      <c r="G57" s="11"/>
      <c r="H57" s="11"/>
      <c r="I57" s="12" t="s">
        <v>231</v>
      </c>
      <c r="J57" s="11"/>
      <c r="K57" s="12" t="s">
        <v>231</v>
      </c>
      <c r="L57" s="12" t="s">
        <v>231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x14ac:dyDescent="0.25">
      <c r="A58" s="13"/>
      <c r="B58" s="13" t="s">
        <v>338</v>
      </c>
      <c r="C58" s="14" t="s">
        <v>339</v>
      </c>
      <c r="D58" s="12" t="s">
        <v>231</v>
      </c>
      <c r="E58" s="12" t="s">
        <v>231</v>
      </c>
      <c r="F58" s="12" t="s">
        <v>231</v>
      </c>
      <c r="G58" s="12" t="s">
        <v>231</v>
      </c>
      <c r="H58" s="12" t="s">
        <v>231</v>
      </c>
      <c r="I58" s="12" t="s">
        <v>231</v>
      </c>
      <c r="J58" s="12" t="s">
        <v>231</v>
      </c>
      <c r="K58" s="12" t="s">
        <v>231</v>
      </c>
      <c r="L58" s="12" t="s">
        <v>231</v>
      </c>
      <c r="M58" s="12" t="s">
        <v>231</v>
      </c>
      <c r="N58" s="12" t="s">
        <v>231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</sheetData>
  <mergeCells count="10">
    <mergeCell ref="S3:U3"/>
    <mergeCell ref="V3:X3"/>
    <mergeCell ref="Y3:AA3"/>
    <mergeCell ref="A2:AA2"/>
    <mergeCell ref="A1:AA1"/>
    <mergeCell ref="D3:F3"/>
    <mergeCell ref="G3:I3"/>
    <mergeCell ref="J3:L3"/>
    <mergeCell ref="M3:O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showGridLines="0" topLeftCell="A28" workbookViewId="0">
      <selection activeCell="V11" sqref="V11"/>
    </sheetView>
  </sheetViews>
  <sheetFormatPr baseColWidth="10" defaultColWidth="9.140625" defaultRowHeight="15" x14ac:dyDescent="0.25"/>
  <cols>
    <col min="1" max="1" width="5" customWidth="1"/>
    <col min="2" max="2" width="13" customWidth="1"/>
    <col min="3" max="3" width="32" customWidth="1"/>
    <col min="4" max="4" width="10.5703125" customWidth="1"/>
    <col min="5" max="5" width="9.28515625" customWidth="1"/>
    <col min="6" max="6" width="42" customWidth="1"/>
    <col min="7" max="7" width="38" customWidth="1"/>
    <col min="8" max="8" width="42" customWidth="1"/>
    <col min="9" max="9" width="10.42578125" customWidth="1"/>
    <col min="10" max="10" width="10.85546875" customWidth="1"/>
    <col min="11" max="11" width="10" customWidth="1"/>
    <col min="12" max="14" width="12" customWidth="1"/>
    <col min="15" max="15" width="10" customWidth="1"/>
    <col min="16" max="16" width="50" customWidth="1"/>
    <col min="17" max="17" width="10" customWidth="1"/>
    <col min="18" max="18" width="12" customWidth="1"/>
  </cols>
  <sheetData>
    <row r="1" spans="1:18" ht="27.95" customHeight="1" x14ac:dyDescent="0.25">
      <c r="A1" s="45" t="s">
        <v>340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s="24" customFormat="1" ht="27.95" customHeight="1" x14ac:dyDescent="0.25">
      <c r="A2" s="26"/>
    </row>
    <row r="3" spans="1:18" s="24" customFormat="1" ht="27.95" customHeight="1" x14ac:dyDescent="0.25">
      <c r="A3" s="26"/>
    </row>
    <row r="4" spans="1:18" s="24" customFormat="1" ht="27.95" customHeight="1" x14ac:dyDescent="0.25">
      <c r="A4" s="26"/>
    </row>
    <row r="5" spans="1:18" s="24" customFormat="1" ht="27.95" customHeight="1" x14ac:dyDescent="0.25">
      <c r="A5" s="26"/>
    </row>
    <row r="6" spans="1:18" s="24" customFormat="1" ht="18" customHeight="1" x14ac:dyDescent="0.25">
      <c r="A6" s="23"/>
      <c r="E6" s="23"/>
      <c r="G6" s="23"/>
      <c r="I6" s="25"/>
      <c r="K6" s="23"/>
      <c r="N6" s="23"/>
    </row>
    <row r="7" spans="1:18" s="22" customFormat="1" ht="35.1" customHeight="1" x14ac:dyDescent="0.25">
      <c r="A7" s="19" t="s">
        <v>341</v>
      </c>
      <c r="B7" s="19" t="s">
        <v>342</v>
      </c>
      <c r="C7" s="19" t="s">
        <v>343</v>
      </c>
      <c r="D7" s="19" t="s">
        <v>344</v>
      </c>
      <c r="E7" s="19" t="s">
        <v>345</v>
      </c>
      <c r="F7" s="19" t="s">
        <v>346</v>
      </c>
      <c r="G7" s="19" t="s">
        <v>347</v>
      </c>
      <c r="H7" s="19" t="s">
        <v>348</v>
      </c>
      <c r="I7" s="19" t="s">
        <v>349</v>
      </c>
      <c r="J7" s="19" t="s">
        <v>350</v>
      </c>
      <c r="K7" s="19" t="s">
        <v>351</v>
      </c>
      <c r="L7" s="19" t="s">
        <v>352</v>
      </c>
      <c r="M7" s="19" t="s">
        <v>353</v>
      </c>
      <c r="N7" s="19" t="s">
        <v>354</v>
      </c>
      <c r="O7" s="19" t="s">
        <v>355</v>
      </c>
      <c r="P7" s="19" t="s">
        <v>356</v>
      </c>
      <c r="Q7" s="19" t="s">
        <v>357</v>
      </c>
      <c r="R7" s="19" t="s">
        <v>358</v>
      </c>
    </row>
    <row r="8" spans="1:18" ht="22.5" x14ac:dyDescent="0.25">
      <c r="A8" s="13">
        <v>1</v>
      </c>
      <c r="B8" s="13" t="s">
        <v>10</v>
      </c>
      <c r="C8" s="14" t="s">
        <v>359</v>
      </c>
      <c r="D8" s="13">
        <v>15</v>
      </c>
      <c r="E8" s="13" t="s">
        <v>360</v>
      </c>
      <c r="F8" s="14" t="s">
        <v>361</v>
      </c>
      <c r="G8" s="14" t="s">
        <v>362</v>
      </c>
      <c r="H8" s="14" t="s">
        <v>363</v>
      </c>
      <c r="I8" s="13" t="s">
        <v>364</v>
      </c>
      <c r="J8" s="13" t="s">
        <v>365</v>
      </c>
      <c r="K8" s="13">
        <v>30</v>
      </c>
      <c r="L8" s="13" t="s">
        <v>366</v>
      </c>
      <c r="M8" s="13">
        <v>30</v>
      </c>
      <c r="N8" s="13">
        <v>1</v>
      </c>
      <c r="O8" s="16">
        <f>K8*N8</f>
        <v>30</v>
      </c>
      <c r="P8" s="14" t="s">
        <v>367</v>
      </c>
      <c r="Q8" s="13">
        <v>2</v>
      </c>
      <c r="R8" s="13">
        <v>20</v>
      </c>
    </row>
    <row r="9" spans="1:18" ht="22.5" x14ac:dyDescent="0.25">
      <c r="A9" s="11">
        <v>2</v>
      </c>
      <c r="B9" s="11" t="s">
        <v>12</v>
      </c>
      <c r="C9" s="10" t="s">
        <v>13</v>
      </c>
      <c r="D9" s="11">
        <v>15</v>
      </c>
      <c r="E9" s="11" t="s">
        <v>360</v>
      </c>
      <c r="F9" s="10" t="s">
        <v>368</v>
      </c>
      <c r="G9" s="10" t="s">
        <v>369</v>
      </c>
      <c r="H9" s="10" t="s">
        <v>370</v>
      </c>
      <c r="I9" s="11" t="s">
        <v>371</v>
      </c>
      <c r="J9" s="11" t="s">
        <v>372</v>
      </c>
      <c r="K9" s="11">
        <v>22.5</v>
      </c>
      <c r="L9" s="11" t="s">
        <v>366</v>
      </c>
      <c r="M9" s="11">
        <v>22.5</v>
      </c>
      <c r="N9" s="11">
        <v>2</v>
      </c>
      <c r="O9" s="16">
        <f t="shared" ref="O9:O33" si="0">K9*N9</f>
        <v>45</v>
      </c>
      <c r="P9" s="10" t="s">
        <v>373</v>
      </c>
      <c r="Q9" s="11">
        <v>1</v>
      </c>
      <c r="R9" s="11">
        <v>15</v>
      </c>
    </row>
    <row r="10" spans="1:18" ht="22.5" x14ac:dyDescent="0.25">
      <c r="A10" s="13">
        <v>3</v>
      </c>
      <c r="B10" s="13" t="s">
        <v>17</v>
      </c>
      <c r="C10" s="14" t="s">
        <v>18</v>
      </c>
      <c r="D10" s="13">
        <v>15</v>
      </c>
      <c r="E10" s="13" t="s">
        <v>360</v>
      </c>
      <c r="F10" s="14" t="s">
        <v>374</v>
      </c>
      <c r="G10" s="14" t="s">
        <v>375</v>
      </c>
      <c r="H10" s="14" t="s">
        <v>376</v>
      </c>
      <c r="I10" s="13" t="s">
        <v>371</v>
      </c>
      <c r="J10" s="13" t="s">
        <v>377</v>
      </c>
      <c r="K10" s="13">
        <v>33.75</v>
      </c>
      <c r="L10" s="13" t="s">
        <v>366</v>
      </c>
      <c r="M10" s="13">
        <v>33.75</v>
      </c>
      <c r="N10" s="13">
        <v>1</v>
      </c>
      <c r="O10" s="16">
        <f t="shared" si="0"/>
        <v>33.75</v>
      </c>
      <c r="P10" s="14" t="s">
        <v>378</v>
      </c>
      <c r="Q10" s="13">
        <v>1</v>
      </c>
      <c r="R10" s="13">
        <v>15</v>
      </c>
    </row>
    <row r="11" spans="1:18" ht="22.5" x14ac:dyDescent="0.25">
      <c r="A11" s="11">
        <v>4</v>
      </c>
      <c r="B11" s="11" t="s">
        <v>56</v>
      </c>
      <c r="C11" s="10" t="s">
        <v>379</v>
      </c>
      <c r="D11" s="11">
        <v>15</v>
      </c>
      <c r="E11" s="11" t="s">
        <v>360</v>
      </c>
      <c r="F11" s="10" t="s">
        <v>380</v>
      </c>
      <c r="G11" s="10" t="s">
        <v>381</v>
      </c>
      <c r="H11" s="10" t="s">
        <v>382</v>
      </c>
      <c r="I11" s="11" t="s">
        <v>383</v>
      </c>
      <c r="J11" s="11" t="s">
        <v>372</v>
      </c>
      <c r="K11" s="11">
        <v>30</v>
      </c>
      <c r="L11" s="11" t="s">
        <v>366</v>
      </c>
      <c r="M11" s="11">
        <v>30</v>
      </c>
      <c r="N11" s="11">
        <v>2</v>
      </c>
      <c r="O11" s="16">
        <f t="shared" si="0"/>
        <v>60</v>
      </c>
      <c r="P11" s="10" t="s">
        <v>384</v>
      </c>
      <c r="Q11" s="11">
        <v>2</v>
      </c>
      <c r="R11" s="11">
        <v>40</v>
      </c>
    </row>
    <row r="12" spans="1:18" ht="22.5" x14ac:dyDescent="0.25">
      <c r="A12" s="13">
        <v>5</v>
      </c>
      <c r="B12" s="13" t="s">
        <v>52</v>
      </c>
      <c r="C12" s="14" t="s">
        <v>53</v>
      </c>
      <c r="D12" s="13">
        <v>15</v>
      </c>
      <c r="E12" s="13" t="s">
        <v>360</v>
      </c>
      <c r="F12" s="14" t="s">
        <v>385</v>
      </c>
      <c r="G12" s="14" t="s">
        <v>386</v>
      </c>
      <c r="H12" s="14" t="s">
        <v>387</v>
      </c>
      <c r="I12" s="13" t="s">
        <v>371</v>
      </c>
      <c r="J12" s="13" t="s">
        <v>372</v>
      </c>
      <c r="K12" s="13">
        <v>22.5</v>
      </c>
      <c r="L12" s="13" t="s">
        <v>366</v>
      </c>
      <c r="M12" s="13">
        <v>22.5</v>
      </c>
      <c r="N12" s="13">
        <v>1</v>
      </c>
      <c r="O12" s="16">
        <f t="shared" si="0"/>
        <v>22.5</v>
      </c>
      <c r="P12" s="14" t="s">
        <v>388</v>
      </c>
      <c r="Q12" s="13">
        <v>1</v>
      </c>
      <c r="R12" s="13">
        <v>15</v>
      </c>
    </row>
    <row r="13" spans="1:18" ht="22.5" x14ac:dyDescent="0.25">
      <c r="A13" s="11">
        <v>6</v>
      </c>
      <c r="B13" s="11" t="s">
        <v>58</v>
      </c>
      <c r="C13" s="10" t="s">
        <v>389</v>
      </c>
      <c r="D13" s="11">
        <v>15</v>
      </c>
      <c r="E13" s="11" t="s">
        <v>360</v>
      </c>
      <c r="F13" s="10" t="s">
        <v>390</v>
      </c>
      <c r="G13" s="10" t="s">
        <v>391</v>
      </c>
      <c r="H13" s="10" t="s">
        <v>392</v>
      </c>
      <c r="I13" s="11" t="s">
        <v>383</v>
      </c>
      <c r="J13" s="11" t="s">
        <v>377</v>
      </c>
      <c r="K13" s="11">
        <v>45</v>
      </c>
      <c r="L13" s="11" t="s">
        <v>366</v>
      </c>
      <c r="M13" s="11">
        <v>45</v>
      </c>
      <c r="N13" s="11">
        <v>2</v>
      </c>
      <c r="O13" s="16">
        <f t="shared" si="0"/>
        <v>90</v>
      </c>
      <c r="P13" s="10" t="s">
        <v>393</v>
      </c>
      <c r="Q13" s="11">
        <v>1</v>
      </c>
      <c r="R13" s="11">
        <v>20</v>
      </c>
    </row>
    <row r="14" spans="1:18" ht="22.5" x14ac:dyDescent="0.25">
      <c r="A14" s="13">
        <v>7</v>
      </c>
      <c r="B14" s="13" t="s">
        <v>60</v>
      </c>
      <c r="C14" s="14" t="s">
        <v>394</v>
      </c>
      <c r="D14" s="13">
        <v>15</v>
      </c>
      <c r="E14" s="13" t="s">
        <v>360</v>
      </c>
      <c r="F14" s="14" t="s">
        <v>395</v>
      </c>
      <c r="G14" s="14" t="s">
        <v>396</v>
      </c>
      <c r="H14" s="14" t="s">
        <v>397</v>
      </c>
      <c r="I14" s="13" t="s">
        <v>371</v>
      </c>
      <c r="J14" s="13" t="s">
        <v>372</v>
      </c>
      <c r="K14" s="13">
        <v>22.5</v>
      </c>
      <c r="L14" s="13" t="s">
        <v>366</v>
      </c>
      <c r="M14" s="13">
        <v>22.5</v>
      </c>
      <c r="N14" s="13">
        <v>1</v>
      </c>
      <c r="O14" s="16">
        <f t="shared" si="0"/>
        <v>22.5</v>
      </c>
      <c r="P14" s="14" t="s">
        <v>398</v>
      </c>
      <c r="Q14" s="13">
        <v>1</v>
      </c>
      <c r="R14" s="13">
        <v>15</v>
      </c>
    </row>
    <row r="15" spans="1:18" ht="22.5" x14ac:dyDescent="0.25">
      <c r="A15" s="11">
        <v>8</v>
      </c>
      <c r="B15" s="11" t="s">
        <v>164</v>
      </c>
      <c r="C15" s="10" t="s">
        <v>399</v>
      </c>
      <c r="D15" s="11">
        <v>15</v>
      </c>
      <c r="E15" s="11" t="s">
        <v>360</v>
      </c>
      <c r="F15" s="10" t="s">
        <v>400</v>
      </c>
      <c r="G15" s="10" t="s">
        <v>401</v>
      </c>
      <c r="H15" s="10" t="s">
        <v>402</v>
      </c>
      <c r="I15" s="11" t="s">
        <v>383</v>
      </c>
      <c r="J15" s="11" t="s">
        <v>372</v>
      </c>
      <c r="K15" s="11">
        <v>30</v>
      </c>
      <c r="L15" s="11" t="s">
        <v>366</v>
      </c>
      <c r="M15" s="11">
        <v>30</v>
      </c>
      <c r="N15" s="11">
        <v>5</v>
      </c>
      <c r="O15" s="16">
        <f t="shared" si="0"/>
        <v>150</v>
      </c>
      <c r="P15" s="10" t="s">
        <v>403</v>
      </c>
      <c r="Q15" s="11">
        <v>1</v>
      </c>
      <c r="R15" s="11">
        <v>20</v>
      </c>
    </row>
    <row r="16" spans="1:18" ht="22.5" x14ac:dyDescent="0.25">
      <c r="A16" s="13">
        <v>9</v>
      </c>
      <c r="B16" s="13" t="s">
        <v>168</v>
      </c>
      <c r="C16" s="14" t="s">
        <v>169</v>
      </c>
      <c r="D16" s="13">
        <v>15</v>
      </c>
      <c r="E16" s="13" t="s">
        <v>360</v>
      </c>
      <c r="F16" s="14" t="s">
        <v>404</v>
      </c>
      <c r="G16" s="14" t="s">
        <v>405</v>
      </c>
      <c r="H16" s="14" t="s">
        <v>406</v>
      </c>
      <c r="I16" s="13" t="s">
        <v>383</v>
      </c>
      <c r="J16" s="13" t="s">
        <v>377</v>
      </c>
      <c r="K16" s="13">
        <v>45</v>
      </c>
      <c r="L16" s="13" t="s">
        <v>366</v>
      </c>
      <c r="M16" s="13">
        <v>45</v>
      </c>
      <c r="N16" s="13">
        <v>3</v>
      </c>
      <c r="O16" s="16">
        <f t="shared" si="0"/>
        <v>135</v>
      </c>
      <c r="P16" s="14" t="s">
        <v>407</v>
      </c>
      <c r="Q16" s="13">
        <v>1</v>
      </c>
      <c r="R16" s="13">
        <v>20</v>
      </c>
    </row>
    <row r="17" spans="1:18" ht="22.5" x14ac:dyDescent="0.25">
      <c r="A17" s="11">
        <v>10</v>
      </c>
      <c r="B17" s="11" t="s">
        <v>174</v>
      </c>
      <c r="C17" s="10" t="s">
        <v>175</v>
      </c>
      <c r="D17" s="11">
        <v>15</v>
      </c>
      <c r="E17" s="11" t="s">
        <v>360</v>
      </c>
      <c r="F17" s="10" t="s">
        <v>408</v>
      </c>
      <c r="G17" s="10" t="s">
        <v>409</v>
      </c>
      <c r="H17" s="10" t="s">
        <v>410</v>
      </c>
      <c r="I17" s="11" t="s">
        <v>383</v>
      </c>
      <c r="J17" s="11" t="s">
        <v>372</v>
      </c>
      <c r="K17" s="11">
        <v>30</v>
      </c>
      <c r="L17" s="11" t="s">
        <v>366</v>
      </c>
      <c r="M17" s="11">
        <v>30</v>
      </c>
      <c r="N17" s="11">
        <v>3</v>
      </c>
      <c r="O17" s="16">
        <f t="shared" si="0"/>
        <v>90</v>
      </c>
      <c r="P17" s="10" t="s">
        <v>378</v>
      </c>
      <c r="Q17" s="11">
        <v>1</v>
      </c>
      <c r="R17" s="11">
        <v>20</v>
      </c>
    </row>
    <row r="18" spans="1:18" ht="22.5" x14ac:dyDescent="0.25">
      <c r="A18" s="13">
        <v>11</v>
      </c>
      <c r="B18" s="13" t="s">
        <v>122</v>
      </c>
      <c r="C18" s="14" t="s">
        <v>411</v>
      </c>
      <c r="D18" s="13">
        <v>15</v>
      </c>
      <c r="E18" s="13" t="s">
        <v>360</v>
      </c>
      <c r="F18" s="14" t="s">
        <v>412</v>
      </c>
      <c r="G18" s="14" t="s">
        <v>413</v>
      </c>
      <c r="H18" s="14" t="s">
        <v>414</v>
      </c>
      <c r="I18" s="13" t="s">
        <v>371</v>
      </c>
      <c r="J18" s="13" t="s">
        <v>372</v>
      </c>
      <c r="K18" s="13">
        <v>22.5</v>
      </c>
      <c r="L18" s="13" t="s">
        <v>366</v>
      </c>
      <c r="M18" s="13">
        <v>22.5</v>
      </c>
      <c r="N18" s="13">
        <v>3</v>
      </c>
      <c r="O18" s="16">
        <f t="shared" si="0"/>
        <v>67.5</v>
      </c>
      <c r="P18" s="14" t="s">
        <v>415</v>
      </c>
      <c r="Q18" s="13">
        <v>1</v>
      </c>
      <c r="R18" s="13">
        <v>15</v>
      </c>
    </row>
    <row r="19" spans="1:18" ht="22.5" x14ac:dyDescent="0.25">
      <c r="A19" s="11">
        <v>12</v>
      </c>
      <c r="B19" s="11" t="s">
        <v>124</v>
      </c>
      <c r="C19" s="10" t="s">
        <v>125</v>
      </c>
      <c r="D19" s="11">
        <v>15</v>
      </c>
      <c r="E19" s="11" t="s">
        <v>360</v>
      </c>
      <c r="F19" s="10" t="s">
        <v>416</v>
      </c>
      <c r="G19" s="10" t="s">
        <v>417</v>
      </c>
      <c r="H19" s="10" t="s">
        <v>418</v>
      </c>
      <c r="I19" s="11" t="s">
        <v>364</v>
      </c>
      <c r="J19" s="11" t="s">
        <v>377</v>
      </c>
      <c r="K19" s="11">
        <v>22.5</v>
      </c>
      <c r="L19" s="11" t="s">
        <v>366</v>
      </c>
      <c r="M19" s="11">
        <v>22.5</v>
      </c>
      <c r="N19" s="11">
        <v>3</v>
      </c>
      <c r="O19" s="16">
        <f t="shared" si="0"/>
        <v>67.5</v>
      </c>
      <c r="P19" s="10" t="s">
        <v>419</v>
      </c>
      <c r="Q19" s="11">
        <v>2</v>
      </c>
      <c r="R19" s="11">
        <v>30</v>
      </c>
    </row>
    <row r="20" spans="1:18" ht="22.5" x14ac:dyDescent="0.25">
      <c r="A20" s="13">
        <v>13</v>
      </c>
      <c r="B20" s="13" t="s">
        <v>118</v>
      </c>
      <c r="C20" s="14" t="s">
        <v>420</v>
      </c>
      <c r="D20" s="13">
        <v>15</v>
      </c>
      <c r="E20" s="13" t="s">
        <v>360</v>
      </c>
      <c r="F20" s="14" t="s">
        <v>421</v>
      </c>
      <c r="G20" s="14" t="s">
        <v>422</v>
      </c>
      <c r="H20" s="14" t="s">
        <v>423</v>
      </c>
      <c r="I20" s="13" t="s">
        <v>371</v>
      </c>
      <c r="J20" s="13" t="s">
        <v>424</v>
      </c>
      <c r="K20" s="13">
        <v>11.25</v>
      </c>
      <c r="L20" s="13" t="s">
        <v>366</v>
      </c>
      <c r="M20" s="13">
        <v>11.25</v>
      </c>
      <c r="N20" s="13">
        <v>5</v>
      </c>
      <c r="O20" s="16">
        <f t="shared" si="0"/>
        <v>56.25</v>
      </c>
      <c r="P20" s="14" t="s">
        <v>425</v>
      </c>
      <c r="Q20" s="13">
        <v>1</v>
      </c>
      <c r="R20" s="13">
        <v>15</v>
      </c>
    </row>
    <row r="21" spans="1:18" ht="22.5" x14ac:dyDescent="0.25">
      <c r="A21" s="11">
        <v>14</v>
      </c>
      <c r="B21" s="11" t="s">
        <v>170</v>
      </c>
      <c r="C21" s="10" t="s">
        <v>171</v>
      </c>
      <c r="D21" s="11">
        <v>15</v>
      </c>
      <c r="E21" s="11" t="s">
        <v>360</v>
      </c>
      <c r="F21" s="10" t="s">
        <v>426</v>
      </c>
      <c r="G21" s="10" t="s">
        <v>427</v>
      </c>
      <c r="H21" s="10" t="s">
        <v>428</v>
      </c>
      <c r="I21" s="11" t="s">
        <v>364</v>
      </c>
      <c r="J21" s="11" t="s">
        <v>365</v>
      </c>
      <c r="K21" s="11">
        <v>30</v>
      </c>
      <c r="L21" s="11" t="s">
        <v>366</v>
      </c>
      <c r="M21" s="11">
        <v>30</v>
      </c>
      <c r="N21" s="11">
        <v>3</v>
      </c>
      <c r="O21" s="16">
        <f t="shared" si="0"/>
        <v>90</v>
      </c>
      <c r="P21" s="10" t="s">
        <v>429</v>
      </c>
      <c r="Q21" s="11">
        <v>2</v>
      </c>
      <c r="R21" s="11">
        <v>20</v>
      </c>
    </row>
    <row r="22" spans="1:18" ht="22.5" x14ac:dyDescent="0.25">
      <c r="A22" s="13">
        <v>15</v>
      </c>
      <c r="B22" s="13" t="s">
        <v>172</v>
      </c>
      <c r="C22" s="14" t="s">
        <v>173</v>
      </c>
      <c r="D22" s="13">
        <v>14</v>
      </c>
      <c r="E22" s="13" t="s">
        <v>360</v>
      </c>
      <c r="F22" s="14" t="s">
        <v>430</v>
      </c>
      <c r="G22" s="14" t="s">
        <v>431</v>
      </c>
      <c r="H22" s="14" t="s">
        <v>432</v>
      </c>
      <c r="I22" s="13" t="s">
        <v>371</v>
      </c>
      <c r="J22" s="13" t="s">
        <v>377</v>
      </c>
      <c r="K22" s="13">
        <v>31.5</v>
      </c>
      <c r="L22" s="13" t="s">
        <v>366</v>
      </c>
      <c r="M22" s="13">
        <v>31.5</v>
      </c>
      <c r="N22" s="13">
        <v>1</v>
      </c>
      <c r="O22" s="16">
        <f t="shared" si="0"/>
        <v>31.5</v>
      </c>
      <c r="P22" s="14" t="s">
        <v>433</v>
      </c>
      <c r="Q22" s="13">
        <v>2</v>
      </c>
      <c r="R22" s="13">
        <v>28</v>
      </c>
    </row>
    <row r="23" spans="1:18" ht="22.5" x14ac:dyDescent="0.25">
      <c r="A23" s="11">
        <v>16</v>
      </c>
      <c r="B23" s="11" t="s">
        <v>62</v>
      </c>
      <c r="C23" s="10" t="s">
        <v>63</v>
      </c>
      <c r="D23" s="11">
        <v>14</v>
      </c>
      <c r="E23" s="11" t="s">
        <v>360</v>
      </c>
      <c r="F23" s="10" t="s">
        <v>434</v>
      </c>
      <c r="G23" s="10" t="s">
        <v>435</v>
      </c>
      <c r="H23" s="10" t="s">
        <v>436</v>
      </c>
      <c r="I23" s="11" t="s">
        <v>383</v>
      </c>
      <c r="J23" s="11" t="s">
        <v>424</v>
      </c>
      <c r="K23" s="11">
        <v>14</v>
      </c>
      <c r="L23" s="11" t="s">
        <v>366</v>
      </c>
      <c r="M23" s="11">
        <v>14</v>
      </c>
      <c r="N23" s="11">
        <v>2</v>
      </c>
      <c r="O23" s="16">
        <f t="shared" si="0"/>
        <v>28</v>
      </c>
      <c r="P23" s="10" t="s">
        <v>437</v>
      </c>
      <c r="Q23" s="11">
        <v>1</v>
      </c>
      <c r="R23" s="11">
        <v>18.7</v>
      </c>
    </row>
    <row r="24" spans="1:18" ht="22.5" x14ac:dyDescent="0.25">
      <c r="A24" s="13">
        <v>17</v>
      </c>
      <c r="B24" s="13" t="s">
        <v>166</v>
      </c>
      <c r="C24" s="14" t="s">
        <v>167</v>
      </c>
      <c r="D24" s="13">
        <v>15</v>
      </c>
      <c r="E24" s="13" t="s">
        <v>360</v>
      </c>
      <c r="F24" s="14" t="s">
        <v>438</v>
      </c>
      <c r="G24" s="14" t="s">
        <v>439</v>
      </c>
      <c r="H24" s="14" t="s">
        <v>440</v>
      </c>
      <c r="I24" s="13" t="s">
        <v>371</v>
      </c>
      <c r="J24" s="13" t="s">
        <v>372</v>
      </c>
      <c r="K24" s="13">
        <v>22.5</v>
      </c>
      <c r="L24" s="13" t="s">
        <v>366</v>
      </c>
      <c r="M24" s="13">
        <v>22.5</v>
      </c>
      <c r="N24" s="13">
        <v>5</v>
      </c>
      <c r="O24" s="16">
        <f t="shared" si="0"/>
        <v>112.5</v>
      </c>
      <c r="P24" s="14" t="s">
        <v>441</v>
      </c>
      <c r="Q24" s="13">
        <v>1</v>
      </c>
      <c r="R24" s="13">
        <v>15</v>
      </c>
    </row>
    <row r="25" spans="1:18" ht="22.5" x14ac:dyDescent="0.25">
      <c r="A25" s="11">
        <v>18</v>
      </c>
      <c r="B25" s="11" t="s">
        <v>70</v>
      </c>
      <c r="C25" s="10" t="s">
        <v>71</v>
      </c>
      <c r="D25" s="11">
        <v>15</v>
      </c>
      <c r="E25" s="11" t="s">
        <v>360</v>
      </c>
      <c r="F25" s="10" t="s">
        <v>442</v>
      </c>
      <c r="G25" s="10" t="s">
        <v>443</v>
      </c>
      <c r="H25" s="10" t="s">
        <v>444</v>
      </c>
      <c r="I25" s="11" t="s">
        <v>383</v>
      </c>
      <c r="J25" s="11" t="s">
        <v>424</v>
      </c>
      <c r="K25" s="11">
        <v>15</v>
      </c>
      <c r="L25" s="11" t="s">
        <v>366</v>
      </c>
      <c r="M25" s="11">
        <v>15</v>
      </c>
      <c r="N25" s="11">
        <v>3</v>
      </c>
      <c r="O25" s="16">
        <f t="shared" si="0"/>
        <v>45</v>
      </c>
      <c r="P25" s="10" t="s">
        <v>445</v>
      </c>
      <c r="Q25" s="11">
        <v>1</v>
      </c>
      <c r="R25" s="11">
        <v>20</v>
      </c>
    </row>
    <row r="26" spans="1:18" ht="22.5" x14ac:dyDescent="0.25">
      <c r="A26" s="13">
        <v>19</v>
      </c>
      <c r="B26" s="13" t="s">
        <v>74</v>
      </c>
      <c r="C26" s="14" t="s">
        <v>75</v>
      </c>
      <c r="D26" s="13">
        <v>15</v>
      </c>
      <c r="E26" s="13" t="s">
        <v>360</v>
      </c>
      <c r="F26" s="14" t="s">
        <v>446</v>
      </c>
      <c r="G26" s="14" t="s">
        <v>447</v>
      </c>
      <c r="H26" s="14" t="s">
        <v>448</v>
      </c>
      <c r="I26" s="13" t="s">
        <v>383</v>
      </c>
      <c r="J26" s="13" t="s">
        <v>424</v>
      </c>
      <c r="K26" s="13">
        <v>15</v>
      </c>
      <c r="L26" s="13" t="s">
        <v>366</v>
      </c>
      <c r="M26" s="13">
        <v>15</v>
      </c>
      <c r="N26" s="13">
        <v>5</v>
      </c>
      <c r="O26" s="16">
        <f t="shared" si="0"/>
        <v>75</v>
      </c>
      <c r="P26" s="14" t="s">
        <v>449</v>
      </c>
      <c r="Q26" s="13">
        <v>1</v>
      </c>
      <c r="R26" s="13">
        <v>20</v>
      </c>
    </row>
    <row r="27" spans="1:18" ht="22.5" x14ac:dyDescent="0.25">
      <c r="A27" s="11">
        <v>20</v>
      </c>
      <c r="B27" s="11" t="s">
        <v>78</v>
      </c>
      <c r="C27" s="10" t="s">
        <v>79</v>
      </c>
      <c r="D27" s="11">
        <v>15</v>
      </c>
      <c r="E27" s="11" t="s">
        <v>360</v>
      </c>
      <c r="F27" s="10" t="s">
        <v>450</v>
      </c>
      <c r="G27" s="10" t="s">
        <v>451</v>
      </c>
      <c r="H27" s="10" t="s">
        <v>452</v>
      </c>
      <c r="I27" s="11" t="s">
        <v>364</v>
      </c>
      <c r="J27" s="11" t="s">
        <v>372</v>
      </c>
      <c r="K27" s="11">
        <v>15</v>
      </c>
      <c r="L27" s="11" t="s">
        <v>366</v>
      </c>
      <c r="M27" s="11">
        <v>15</v>
      </c>
      <c r="N27" s="11">
        <v>5</v>
      </c>
      <c r="O27" s="16">
        <f t="shared" si="0"/>
        <v>75</v>
      </c>
      <c r="P27" s="10" t="s">
        <v>453</v>
      </c>
      <c r="Q27" s="11">
        <v>2</v>
      </c>
      <c r="R27" s="11">
        <v>20</v>
      </c>
    </row>
    <row r="28" spans="1:18" ht="22.5" x14ac:dyDescent="0.25">
      <c r="A28" s="13">
        <v>21</v>
      </c>
      <c r="B28" s="13" t="s">
        <v>136</v>
      </c>
      <c r="C28" s="14" t="s">
        <v>137</v>
      </c>
      <c r="D28" s="13">
        <v>15</v>
      </c>
      <c r="E28" s="13" t="s">
        <v>360</v>
      </c>
      <c r="F28" s="14" t="s">
        <v>454</v>
      </c>
      <c r="G28" s="14" t="s">
        <v>455</v>
      </c>
      <c r="H28" s="14" t="s">
        <v>456</v>
      </c>
      <c r="I28" s="13" t="s">
        <v>371</v>
      </c>
      <c r="J28" s="13" t="s">
        <v>377</v>
      </c>
      <c r="K28" s="13">
        <v>33.75</v>
      </c>
      <c r="L28" s="13" t="s">
        <v>366</v>
      </c>
      <c r="M28" s="13">
        <v>33.75</v>
      </c>
      <c r="N28" s="13">
        <v>2</v>
      </c>
      <c r="O28" s="16">
        <f t="shared" si="0"/>
        <v>67.5</v>
      </c>
      <c r="P28" s="14" t="s">
        <v>457</v>
      </c>
      <c r="Q28" s="13">
        <v>2</v>
      </c>
      <c r="R28" s="13">
        <v>30</v>
      </c>
    </row>
    <row r="29" spans="1:18" ht="22.5" x14ac:dyDescent="0.25">
      <c r="A29" s="11">
        <v>22</v>
      </c>
      <c r="B29" s="11" t="s">
        <v>107</v>
      </c>
      <c r="C29" s="10" t="s">
        <v>108</v>
      </c>
      <c r="D29" s="11">
        <v>15</v>
      </c>
      <c r="E29" s="11" t="s">
        <v>360</v>
      </c>
      <c r="F29" s="10" t="s">
        <v>458</v>
      </c>
      <c r="G29" s="10" t="s">
        <v>459</v>
      </c>
      <c r="H29" s="10" t="s">
        <v>460</v>
      </c>
      <c r="I29" s="11" t="s">
        <v>364</v>
      </c>
      <c r="J29" s="11" t="s">
        <v>377</v>
      </c>
      <c r="K29" s="11">
        <v>22.5</v>
      </c>
      <c r="L29" s="11" t="s">
        <v>366</v>
      </c>
      <c r="M29" s="11">
        <v>22.5</v>
      </c>
      <c r="N29" s="11">
        <v>4</v>
      </c>
      <c r="O29" s="16">
        <f t="shared" si="0"/>
        <v>90</v>
      </c>
      <c r="P29" s="10" t="s">
        <v>461</v>
      </c>
      <c r="Q29" s="11">
        <v>2</v>
      </c>
      <c r="R29" s="11">
        <v>20</v>
      </c>
    </row>
    <row r="30" spans="1:18" ht="22.5" x14ac:dyDescent="0.25">
      <c r="A30" s="13">
        <v>23</v>
      </c>
      <c r="B30" s="13" t="s">
        <v>158</v>
      </c>
      <c r="C30" s="14" t="s">
        <v>159</v>
      </c>
      <c r="D30" s="13">
        <v>15</v>
      </c>
      <c r="E30" s="13" t="s">
        <v>360</v>
      </c>
      <c r="F30" s="14" t="s">
        <v>404</v>
      </c>
      <c r="G30" s="14" t="s">
        <v>462</v>
      </c>
      <c r="H30" s="14" t="s">
        <v>463</v>
      </c>
      <c r="I30" s="13" t="s">
        <v>383</v>
      </c>
      <c r="J30" s="13" t="s">
        <v>377</v>
      </c>
      <c r="K30" s="13">
        <v>45</v>
      </c>
      <c r="L30" s="13" t="s">
        <v>366</v>
      </c>
      <c r="M30" s="13">
        <v>45</v>
      </c>
      <c r="N30" s="13">
        <v>2</v>
      </c>
      <c r="O30" s="16">
        <f t="shared" si="0"/>
        <v>90</v>
      </c>
      <c r="P30" s="14" t="s">
        <v>393</v>
      </c>
      <c r="Q30" s="13">
        <v>1</v>
      </c>
      <c r="R30" s="13">
        <v>20</v>
      </c>
    </row>
    <row r="31" spans="1:18" ht="22.5" x14ac:dyDescent="0.25">
      <c r="A31" s="11">
        <v>24</v>
      </c>
      <c r="B31" s="11" t="s">
        <v>160</v>
      </c>
      <c r="C31" s="10" t="s">
        <v>464</v>
      </c>
      <c r="D31" s="11">
        <v>15</v>
      </c>
      <c r="E31" s="11" t="s">
        <v>360</v>
      </c>
      <c r="F31" s="10" t="s">
        <v>465</v>
      </c>
      <c r="G31" s="10" t="s">
        <v>466</v>
      </c>
      <c r="H31" s="10" t="s">
        <v>467</v>
      </c>
      <c r="I31" s="11" t="s">
        <v>371</v>
      </c>
      <c r="J31" s="11" t="s">
        <v>372</v>
      </c>
      <c r="K31" s="11">
        <v>22.5</v>
      </c>
      <c r="L31" s="11" t="s">
        <v>366</v>
      </c>
      <c r="M31" s="11">
        <v>22.5</v>
      </c>
      <c r="N31" s="11">
        <v>2</v>
      </c>
      <c r="O31" s="16">
        <f t="shared" si="0"/>
        <v>45</v>
      </c>
      <c r="P31" s="10" t="s">
        <v>468</v>
      </c>
      <c r="Q31" s="11">
        <v>2</v>
      </c>
      <c r="R31" s="11">
        <v>30</v>
      </c>
    </row>
    <row r="32" spans="1:18" ht="22.5" x14ac:dyDescent="0.25">
      <c r="A32" s="13">
        <v>25</v>
      </c>
      <c r="B32" s="13" t="s">
        <v>197</v>
      </c>
      <c r="C32" s="14" t="s">
        <v>198</v>
      </c>
      <c r="D32" s="13">
        <v>15</v>
      </c>
      <c r="E32" s="13" t="s">
        <v>360</v>
      </c>
      <c r="F32" s="14" t="s">
        <v>374</v>
      </c>
      <c r="G32" s="14" t="s">
        <v>469</v>
      </c>
      <c r="H32" s="14" t="s">
        <v>470</v>
      </c>
      <c r="I32" s="13" t="s">
        <v>383</v>
      </c>
      <c r="J32" s="13" t="s">
        <v>372</v>
      </c>
      <c r="K32" s="13">
        <v>30</v>
      </c>
      <c r="L32" s="13" t="s">
        <v>366</v>
      </c>
      <c r="M32" s="13">
        <v>30</v>
      </c>
      <c r="N32" s="13">
        <v>1</v>
      </c>
      <c r="O32" s="16">
        <f t="shared" si="0"/>
        <v>30</v>
      </c>
      <c r="P32" s="14" t="s">
        <v>378</v>
      </c>
      <c r="Q32" s="13">
        <v>1</v>
      </c>
      <c r="R32" s="13">
        <v>20</v>
      </c>
    </row>
    <row r="33" spans="1:18" ht="22.5" x14ac:dyDescent="0.25">
      <c r="A33" s="11">
        <v>26</v>
      </c>
      <c r="B33" s="11" t="s">
        <v>199</v>
      </c>
      <c r="C33" s="10" t="s">
        <v>200</v>
      </c>
      <c r="D33" s="11">
        <v>15</v>
      </c>
      <c r="E33" s="11" t="s">
        <v>360</v>
      </c>
      <c r="F33" s="10" t="s">
        <v>471</v>
      </c>
      <c r="G33" s="10" t="s">
        <v>472</v>
      </c>
      <c r="H33" s="10" t="s">
        <v>473</v>
      </c>
      <c r="I33" s="11" t="s">
        <v>383</v>
      </c>
      <c r="J33" s="11" t="s">
        <v>372</v>
      </c>
      <c r="K33" s="11">
        <v>30</v>
      </c>
      <c r="L33" s="11" t="s">
        <v>366</v>
      </c>
      <c r="M33" s="11">
        <v>30</v>
      </c>
      <c r="N33" s="11">
        <v>2</v>
      </c>
      <c r="O33" s="16">
        <f t="shared" si="0"/>
        <v>60</v>
      </c>
      <c r="P33" s="10" t="s">
        <v>474</v>
      </c>
      <c r="Q33" s="11">
        <v>1</v>
      </c>
      <c r="R33" s="11">
        <v>20</v>
      </c>
    </row>
    <row r="34" spans="1:18" x14ac:dyDescent="0.25">
      <c r="A34" s="20"/>
      <c r="B34" s="20"/>
      <c r="C34" s="21"/>
      <c r="D34" s="20"/>
      <c r="E34" s="20"/>
      <c r="F34" s="21"/>
      <c r="G34" s="21"/>
      <c r="H34" s="21"/>
      <c r="I34" s="20"/>
      <c r="J34" s="20"/>
      <c r="K34" s="29"/>
      <c r="L34" s="20"/>
      <c r="M34" s="20"/>
      <c r="N34" s="20"/>
      <c r="O34" s="27"/>
      <c r="P34" s="21"/>
      <c r="Q34" s="20"/>
      <c r="R34" s="28"/>
    </row>
    <row r="35" spans="1:18" x14ac:dyDescent="0.25">
      <c r="A35" s="54" t="s">
        <v>686</v>
      </c>
      <c r="B35" s="55"/>
      <c r="C35" s="55"/>
      <c r="D35" s="55"/>
      <c r="E35" s="55"/>
      <c r="F35" s="56"/>
    </row>
    <row r="36" spans="1:18" x14ac:dyDescent="0.25">
      <c r="A36" s="52" t="s">
        <v>688</v>
      </c>
      <c r="B36" s="53"/>
      <c r="C36" s="53"/>
      <c r="D36" s="61">
        <v>13</v>
      </c>
      <c r="E36" s="62"/>
      <c r="F36" s="63"/>
      <c r="G36" s="18"/>
      <c r="H36" s="18"/>
      <c r="I36" s="18"/>
      <c r="J36" s="18"/>
      <c r="K36" s="18"/>
      <c r="L36" s="18"/>
      <c r="M36" s="18"/>
      <c r="N36" s="18"/>
      <c r="O36" s="18"/>
    </row>
    <row r="37" spans="1:18" x14ac:dyDescent="0.25">
      <c r="A37" s="52" t="s">
        <v>689</v>
      </c>
      <c r="B37" s="53"/>
      <c r="C37" s="53"/>
      <c r="D37" s="47">
        <v>6</v>
      </c>
      <c r="E37" s="48"/>
      <c r="F37" s="49"/>
      <c r="G37" s="18"/>
      <c r="H37" s="18"/>
      <c r="I37" s="18"/>
      <c r="J37" s="18"/>
      <c r="K37" s="18"/>
      <c r="L37" s="18"/>
      <c r="M37" s="18"/>
      <c r="N37" s="18"/>
      <c r="O37" s="18"/>
    </row>
    <row r="38" spans="1:18" x14ac:dyDescent="0.25">
      <c r="A38" s="53" t="s">
        <v>690</v>
      </c>
      <c r="B38" s="53"/>
      <c r="C38" s="57"/>
      <c r="D38" s="58">
        <v>5</v>
      </c>
      <c r="E38" s="59"/>
      <c r="F38" s="60"/>
      <c r="G38" s="18"/>
      <c r="H38" s="18"/>
      <c r="I38" s="18"/>
      <c r="J38" s="18"/>
      <c r="K38" s="18"/>
      <c r="L38" s="18"/>
      <c r="M38" s="18"/>
      <c r="N38" s="18"/>
      <c r="O38" s="18"/>
    </row>
    <row r="39" spans="1:18" x14ac:dyDescent="0.25">
      <c r="A39" s="53" t="s">
        <v>691</v>
      </c>
      <c r="B39" s="53"/>
      <c r="C39" s="57"/>
      <c r="D39" s="64">
        <v>2</v>
      </c>
      <c r="E39" s="65"/>
      <c r="F39" s="66"/>
      <c r="G39" s="18"/>
      <c r="H39" s="18"/>
      <c r="I39" s="18"/>
      <c r="J39" s="18"/>
      <c r="K39" s="18"/>
      <c r="L39" s="18"/>
      <c r="M39" s="18"/>
      <c r="N39" s="18"/>
      <c r="O39" s="18"/>
    </row>
    <row r="40" spans="1:18" x14ac:dyDescent="0.25">
      <c r="A40" s="50" t="s">
        <v>687</v>
      </c>
      <c r="B40" s="51"/>
      <c r="C40" s="51"/>
      <c r="D40" s="67">
        <v>26</v>
      </c>
      <c r="E40" s="68"/>
      <c r="F40" s="69"/>
      <c r="G40" s="18"/>
      <c r="H40" s="18"/>
      <c r="I40" s="18"/>
      <c r="J40" s="18"/>
      <c r="K40" s="18"/>
      <c r="L40" s="18"/>
      <c r="M40" s="18"/>
      <c r="N40" s="18"/>
      <c r="O40" s="18"/>
    </row>
  </sheetData>
  <mergeCells count="12">
    <mergeCell ref="A1:R1"/>
    <mergeCell ref="D37:F37"/>
    <mergeCell ref="A40:C40"/>
    <mergeCell ref="A36:C36"/>
    <mergeCell ref="A37:C37"/>
    <mergeCell ref="A35:F35"/>
    <mergeCell ref="A38:C38"/>
    <mergeCell ref="D38:F38"/>
    <mergeCell ref="D36:F36"/>
    <mergeCell ref="D39:F39"/>
    <mergeCell ref="D40:F40"/>
    <mergeCell ref="A39:C39"/>
  </mergeCells>
  <conditionalFormatting sqref="O8:O33">
    <cfRule type="cellIs" dxfId="3" priority="17" operator="between">
      <formula>0</formula>
      <formula>23</formula>
    </cfRule>
    <cfRule type="cellIs" dxfId="2" priority="18" operator="between">
      <formula>23</formula>
      <formula>36</formula>
    </cfRule>
    <cfRule type="cellIs" dxfId="1" priority="19" operator="between">
      <formula>36</formula>
      <formula>61</formula>
    </cfRule>
    <cfRule type="cellIs" dxfId="0" priority="20" operator="between">
      <formula>61</formula>
      <formula>150</formula>
    </cfRule>
  </conditionalFormatting>
  <pageMargins left="0.75" right="0.75" top="1" bottom="1" header="0.5" footer="0.5"/>
  <pageSetup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showGridLines="0" tabSelected="1" topLeftCell="A21" workbookViewId="0">
      <selection activeCell="F6" sqref="A6:J31"/>
    </sheetView>
  </sheetViews>
  <sheetFormatPr baseColWidth="10" defaultColWidth="9.140625" defaultRowHeight="15" x14ac:dyDescent="0.25"/>
  <cols>
    <col min="1" max="1" width="30" customWidth="1"/>
    <col min="2" max="2" width="8" customWidth="1"/>
    <col min="3" max="3" width="55" customWidth="1"/>
    <col min="4" max="5" width="12" customWidth="1"/>
    <col min="6" max="7" width="5" customWidth="1"/>
    <col min="8" max="8" width="7" customWidth="1"/>
    <col min="9" max="9" width="5" customWidth="1"/>
    <col min="10" max="10" width="60" customWidth="1"/>
  </cols>
  <sheetData>
    <row r="1" spans="1:10" ht="27.95" customHeight="1" x14ac:dyDescent="0.25">
      <c r="A1" s="34" t="s">
        <v>475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1.95" customHeight="1" x14ac:dyDescent="0.25">
      <c r="A2" s="71" t="s">
        <v>692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s="24" customFormat="1" ht="21.95" customHeight="1" x14ac:dyDescent="0.25">
      <c r="A3" s="30"/>
    </row>
    <row r="4" spans="1:10" ht="35.1" customHeight="1" x14ac:dyDescent="0.25">
      <c r="A4" s="17" t="s">
        <v>476</v>
      </c>
      <c r="B4" s="17" t="s">
        <v>477</v>
      </c>
      <c r="C4" s="17" t="s">
        <v>478</v>
      </c>
      <c r="D4" s="17" t="s">
        <v>479</v>
      </c>
      <c r="E4" s="17" t="s">
        <v>352</v>
      </c>
      <c r="F4" s="17" t="s">
        <v>480</v>
      </c>
      <c r="G4" s="17" t="s">
        <v>481</v>
      </c>
      <c r="H4" s="17" t="s">
        <v>482</v>
      </c>
      <c r="I4" s="17" t="s">
        <v>483</v>
      </c>
      <c r="J4" s="17" t="s">
        <v>484</v>
      </c>
    </row>
    <row r="5" spans="1:10" x14ac:dyDescent="0.25">
      <c r="A5" s="31" t="s">
        <v>485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x14ac:dyDescent="0.25">
      <c r="A6" s="4"/>
      <c r="B6" s="4" t="s">
        <v>486</v>
      </c>
      <c r="C6" s="5" t="s">
        <v>487</v>
      </c>
      <c r="D6" s="4"/>
      <c r="E6" s="4"/>
      <c r="F6" s="4"/>
      <c r="G6" s="4"/>
      <c r="H6" s="4" t="s">
        <v>488</v>
      </c>
      <c r="I6" s="4" t="s">
        <v>488</v>
      </c>
      <c r="J6" s="5" t="s">
        <v>489</v>
      </c>
    </row>
    <row r="7" spans="1:10" x14ac:dyDescent="0.25">
      <c r="A7" s="2"/>
      <c r="B7" s="2" t="s">
        <v>490</v>
      </c>
      <c r="C7" s="3" t="s">
        <v>491</v>
      </c>
      <c r="D7" s="2"/>
      <c r="E7" s="2"/>
      <c r="F7" s="2"/>
      <c r="G7" s="2"/>
      <c r="H7" s="2" t="s">
        <v>488</v>
      </c>
      <c r="I7" s="2"/>
      <c r="J7" s="3" t="s">
        <v>492</v>
      </c>
    </row>
    <row r="8" spans="1:10" x14ac:dyDescent="0.25">
      <c r="A8" s="31" t="s">
        <v>493</v>
      </c>
      <c r="B8" s="32"/>
      <c r="C8" s="32"/>
      <c r="D8" s="32"/>
      <c r="E8" s="32"/>
      <c r="F8" s="32"/>
      <c r="G8" s="32"/>
      <c r="H8" s="32"/>
      <c r="I8" s="32"/>
      <c r="J8" s="32"/>
    </row>
    <row r="9" spans="1:10" x14ac:dyDescent="0.25">
      <c r="A9" s="2"/>
      <c r="B9" s="2" t="s">
        <v>494</v>
      </c>
      <c r="C9" s="3" t="s">
        <v>495</v>
      </c>
      <c r="D9" s="2"/>
      <c r="E9" s="2"/>
      <c r="F9" s="2"/>
      <c r="G9" s="2"/>
      <c r="H9" s="2" t="s">
        <v>488</v>
      </c>
      <c r="I9" s="2" t="s">
        <v>488</v>
      </c>
      <c r="J9" s="3" t="s">
        <v>496</v>
      </c>
    </row>
    <row r="10" spans="1:10" x14ac:dyDescent="0.25">
      <c r="A10" s="4"/>
      <c r="B10" s="4" t="s">
        <v>497</v>
      </c>
      <c r="C10" s="5" t="s">
        <v>498</v>
      </c>
      <c r="D10" s="4"/>
      <c r="E10" s="4"/>
      <c r="F10" s="4"/>
      <c r="G10" s="4"/>
      <c r="H10" s="4" t="s">
        <v>488</v>
      </c>
      <c r="I10" s="4" t="s">
        <v>488</v>
      </c>
      <c r="J10" s="5" t="s">
        <v>499</v>
      </c>
    </row>
    <row r="11" spans="1:10" x14ac:dyDescent="0.25">
      <c r="A11" s="2"/>
      <c r="B11" s="2" t="s">
        <v>500</v>
      </c>
      <c r="C11" s="3" t="s">
        <v>501</v>
      </c>
      <c r="D11" s="2"/>
      <c r="E11" s="2"/>
      <c r="F11" s="2" t="s">
        <v>488</v>
      </c>
      <c r="G11" s="2"/>
      <c r="H11" s="2" t="s">
        <v>488</v>
      </c>
      <c r="I11" s="2"/>
      <c r="J11" s="3" t="s">
        <v>502</v>
      </c>
    </row>
    <row r="12" spans="1:10" x14ac:dyDescent="0.25">
      <c r="A12" s="4"/>
      <c r="B12" s="4" t="s">
        <v>503</v>
      </c>
      <c r="C12" s="5" t="s">
        <v>504</v>
      </c>
      <c r="D12" s="4"/>
      <c r="E12" s="4"/>
      <c r="F12" s="4"/>
      <c r="G12" s="4" t="s">
        <v>488</v>
      </c>
      <c r="H12" s="4" t="s">
        <v>488</v>
      </c>
      <c r="I12" s="4" t="s">
        <v>488</v>
      </c>
      <c r="J12" s="5" t="s">
        <v>505</v>
      </c>
    </row>
    <row r="13" spans="1:10" x14ac:dyDescent="0.25">
      <c r="A13" s="2"/>
      <c r="B13" s="2" t="s">
        <v>506</v>
      </c>
      <c r="C13" s="3" t="s">
        <v>507</v>
      </c>
      <c r="D13" s="2"/>
      <c r="E13" s="2"/>
      <c r="F13" s="2"/>
      <c r="G13" s="2"/>
      <c r="H13" s="2" t="s">
        <v>488</v>
      </c>
      <c r="I13" s="2" t="s">
        <v>488</v>
      </c>
      <c r="J13" s="3" t="s">
        <v>508</v>
      </c>
    </row>
    <row r="14" spans="1:10" ht="24" x14ac:dyDescent="0.25">
      <c r="A14" s="4"/>
      <c r="B14" s="4" t="s">
        <v>509</v>
      </c>
      <c r="C14" s="5" t="s">
        <v>510</v>
      </c>
      <c r="D14" s="4"/>
      <c r="E14" s="4"/>
      <c r="F14" s="4"/>
      <c r="G14" s="4"/>
      <c r="H14" s="4" t="s">
        <v>488</v>
      </c>
      <c r="I14" s="4" t="s">
        <v>488</v>
      </c>
      <c r="J14" s="5" t="s">
        <v>511</v>
      </c>
    </row>
    <row r="15" spans="1:10" x14ac:dyDescent="0.25">
      <c r="A15" s="31" t="s">
        <v>512</v>
      </c>
      <c r="B15" s="32"/>
      <c r="C15" s="32"/>
      <c r="D15" s="32"/>
      <c r="E15" s="32"/>
      <c r="F15" s="32"/>
      <c r="G15" s="32"/>
      <c r="H15" s="32"/>
      <c r="I15" s="32"/>
      <c r="J15" s="32"/>
    </row>
    <row r="16" spans="1:10" ht="24" x14ac:dyDescent="0.25">
      <c r="A16" s="4"/>
      <c r="B16" s="4" t="s">
        <v>513</v>
      </c>
      <c r="C16" s="5" t="s">
        <v>514</v>
      </c>
      <c r="D16" s="4"/>
      <c r="E16" s="4"/>
      <c r="F16" s="4"/>
      <c r="G16" s="4"/>
      <c r="H16" s="4" t="s">
        <v>488</v>
      </c>
      <c r="I16" s="4" t="s">
        <v>488</v>
      </c>
      <c r="J16" s="5" t="s">
        <v>515</v>
      </c>
    </row>
    <row r="17" spans="1:10" x14ac:dyDescent="0.25">
      <c r="A17" s="2"/>
      <c r="B17" s="2" t="s">
        <v>516</v>
      </c>
      <c r="C17" s="3" t="s">
        <v>517</v>
      </c>
      <c r="D17" s="2"/>
      <c r="E17" s="2"/>
      <c r="F17" s="2" t="s">
        <v>488</v>
      </c>
      <c r="G17" s="2" t="s">
        <v>488</v>
      </c>
      <c r="H17" s="2" t="s">
        <v>488</v>
      </c>
      <c r="I17" s="2"/>
      <c r="J17" s="3" t="s">
        <v>518</v>
      </c>
    </row>
    <row r="18" spans="1:10" x14ac:dyDescent="0.25">
      <c r="A18" s="4"/>
      <c r="B18" s="4" t="s">
        <v>519</v>
      </c>
      <c r="C18" s="5" t="s">
        <v>520</v>
      </c>
      <c r="D18" s="4"/>
      <c r="E18" s="4"/>
      <c r="F18" s="4"/>
      <c r="G18" s="4"/>
      <c r="H18" s="4" t="s">
        <v>488</v>
      </c>
      <c r="I18" s="4" t="s">
        <v>488</v>
      </c>
      <c r="J18" s="5" t="s">
        <v>521</v>
      </c>
    </row>
    <row r="19" spans="1:10" x14ac:dyDescent="0.25">
      <c r="A19" s="2"/>
      <c r="B19" s="2" t="s">
        <v>522</v>
      </c>
      <c r="C19" s="3" t="s">
        <v>523</v>
      </c>
      <c r="D19" s="2"/>
      <c r="E19" s="2"/>
      <c r="F19" s="2"/>
      <c r="G19" s="2"/>
      <c r="H19" s="2" t="s">
        <v>488</v>
      </c>
      <c r="I19" s="2" t="s">
        <v>488</v>
      </c>
      <c r="J19" s="3" t="s">
        <v>524</v>
      </c>
    </row>
    <row r="20" spans="1:10" x14ac:dyDescent="0.25">
      <c r="A20" s="4"/>
      <c r="B20" s="4" t="s">
        <v>525</v>
      </c>
      <c r="C20" s="5" t="s">
        <v>526</v>
      </c>
      <c r="D20" s="4"/>
      <c r="E20" s="4"/>
      <c r="F20" s="4"/>
      <c r="G20" s="4"/>
      <c r="H20" s="4" t="s">
        <v>488</v>
      </c>
      <c r="I20" s="4"/>
      <c r="J20" s="5" t="s">
        <v>527</v>
      </c>
    </row>
    <row r="21" spans="1:10" x14ac:dyDescent="0.25">
      <c r="A21" s="2"/>
      <c r="B21" s="2" t="s">
        <v>528</v>
      </c>
      <c r="C21" s="3" t="s">
        <v>529</v>
      </c>
      <c r="D21" s="2"/>
      <c r="E21" s="2"/>
      <c r="F21" s="2" t="s">
        <v>488</v>
      </c>
      <c r="G21" s="2" t="s">
        <v>488</v>
      </c>
      <c r="H21" s="2" t="s">
        <v>488</v>
      </c>
      <c r="I21" s="2" t="s">
        <v>488</v>
      </c>
      <c r="J21" s="3" t="s">
        <v>530</v>
      </c>
    </row>
    <row r="22" spans="1:10" x14ac:dyDescent="0.25">
      <c r="A22" s="31" t="s">
        <v>531</v>
      </c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24" x14ac:dyDescent="0.25">
      <c r="A23" s="2"/>
      <c r="B23" s="2" t="s">
        <v>532</v>
      </c>
      <c r="C23" s="3" t="s">
        <v>533</v>
      </c>
      <c r="D23" s="2"/>
      <c r="E23" s="2" t="s">
        <v>488</v>
      </c>
      <c r="F23" s="2"/>
      <c r="G23" s="2"/>
      <c r="H23" s="2" t="s">
        <v>488</v>
      </c>
      <c r="I23" s="2" t="s">
        <v>488</v>
      </c>
      <c r="J23" s="3" t="s">
        <v>534</v>
      </c>
    </row>
    <row r="24" spans="1:10" x14ac:dyDescent="0.25">
      <c r="A24" s="4"/>
      <c r="B24" s="4" t="s">
        <v>535</v>
      </c>
      <c r="C24" s="5" t="s">
        <v>536</v>
      </c>
      <c r="D24" s="4"/>
      <c r="E24" s="4"/>
      <c r="F24" s="4"/>
      <c r="G24" s="4"/>
      <c r="H24" s="4" t="s">
        <v>488</v>
      </c>
      <c r="I24" s="4" t="s">
        <v>488</v>
      </c>
      <c r="J24" s="5" t="s">
        <v>537</v>
      </c>
    </row>
    <row r="25" spans="1:10" x14ac:dyDescent="0.25">
      <c r="A25" s="2"/>
      <c r="B25" s="2" t="s">
        <v>538</v>
      </c>
      <c r="C25" s="3" t="s">
        <v>539</v>
      </c>
      <c r="D25" s="2"/>
      <c r="E25" s="2"/>
      <c r="F25" s="2"/>
      <c r="G25" s="2" t="s">
        <v>488</v>
      </c>
      <c r="H25" s="2" t="s">
        <v>488</v>
      </c>
      <c r="I25" s="2" t="s">
        <v>488</v>
      </c>
      <c r="J25" s="3" t="s">
        <v>540</v>
      </c>
    </row>
    <row r="26" spans="1:10" x14ac:dyDescent="0.25">
      <c r="A26" s="4"/>
      <c r="B26" s="4" t="s">
        <v>541</v>
      </c>
      <c r="C26" s="5" t="s">
        <v>542</v>
      </c>
      <c r="D26" s="4"/>
      <c r="E26" s="4"/>
      <c r="F26" s="4" t="s">
        <v>488</v>
      </c>
      <c r="G26" s="4" t="s">
        <v>488</v>
      </c>
      <c r="H26" s="4" t="s">
        <v>488</v>
      </c>
      <c r="I26" s="4" t="s">
        <v>488</v>
      </c>
      <c r="J26" s="5" t="s">
        <v>543</v>
      </c>
    </row>
    <row r="27" spans="1:10" x14ac:dyDescent="0.25">
      <c r="A27" s="2"/>
      <c r="B27" s="2" t="s">
        <v>544</v>
      </c>
      <c r="C27" s="3" t="s">
        <v>545</v>
      </c>
      <c r="D27" s="2"/>
      <c r="E27" s="2"/>
      <c r="F27" s="2"/>
      <c r="G27" s="2" t="s">
        <v>488</v>
      </c>
      <c r="H27" s="2" t="s">
        <v>488</v>
      </c>
      <c r="I27" s="2" t="s">
        <v>488</v>
      </c>
      <c r="J27" s="3" t="s">
        <v>546</v>
      </c>
    </row>
    <row r="28" spans="1:10" x14ac:dyDescent="0.25">
      <c r="A28" s="4"/>
      <c r="B28" s="4" t="s">
        <v>547</v>
      </c>
      <c r="C28" s="5" t="s">
        <v>548</v>
      </c>
      <c r="D28" s="4"/>
      <c r="E28" s="4"/>
      <c r="F28" s="4"/>
      <c r="G28" s="4"/>
      <c r="H28" s="4" t="s">
        <v>488</v>
      </c>
      <c r="I28" s="4" t="s">
        <v>488</v>
      </c>
      <c r="J28" s="5" t="s">
        <v>549</v>
      </c>
    </row>
    <row r="29" spans="1:10" x14ac:dyDescent="0.25">
      <c r="A29" s="2"/>
      <c r="B29" s="2" t="s">
        <v>550</v>
      </c>
      <c r="C29" s="3" t="s">
        <v>551</v>
      </c>
      <c r="D29" s="2"/>
      <c r="E29" s="2"/>
      <c r="F29" s="2" t="s">
        <v>488</v>
      </c>
      <c r="G29" s="2"/>
      <c r="H29" s="2" t="s">
        <v>488</v>
      </c>
      <c r="I29" s="2" t="s">
        <v>488</v>
      </c>
      <c r="J29" s="3" t="s">
        <v>552</v>
      </c>
    </row>
    <row r="30" spans="1:10" x14ac:dyDescent="0.25">
      <c r="A30" s="31" t="s">
        <v>553</v>
      </c>
      <c r="B30" s="32"/>
      <c r="C30" s="32"/>
      <c r="D30" s="32"/>
      <c r="E30" s="32"/>
      <c r="F30" s="32"/>
      <c r="G30" s="32"/>
      <c r="H30" s="32"/>
      <c r="I30" s="32"/>
      <c r="J30" s="32"/>
    </row>
    <row r="31" spans="1:10" ht="24" x14ac:dyDescent="0.25">
      <c r="A31" s="2"/>
      <c r="B31" s="2" t="s">
        <v>554</v>
      </c>
      <c r="C31" s="3" t="s">
        <v>555</v>
      </c>
      <c r="D31" s="2"/>
      <c r="E31" s="2"/>
      <c r="F31" s="2"/>
      <c r="G31" s="2" t="s">
        <v>488</v>
      </c>
      <c r="H31" s="2" t="s">
        <v>488</v>
      </c>
      <c r="I31" s="2" t="s">
        <v>488</v>
      </c>
      <c r="J31" s="3" t="s">
        <v>556</v>
      </c>
    </row>
    <row r="32" spans="1:10" x14ac:dyDescent="0.25">
      <c r="A32" s="4"/>
      <c r="B32" s="4" t="s">
        <v>557</v>
      </c>
      <c r="C32" s="5" t="s">
        <v>558</v>
      </c>
      <c r="D32" s="4"/>
      <c r="E32" s="4" t="s">
        <v>488</v>
      </c>
      <c r="F32" s="4"/>
      <c r="G32" s="4" t="s">
        <v>488</v>
      </c>
      <c r="H32" s="4" t="s">
        <v>488</v>
      </c>
      <c r="I32" s="4" t="s">
        <v>488</v>
      </c>
      <c r="J32" s="5" t="s">
        <v>559</v>
      </c>
    </row>
    <row r="33" spans="1:10" x14ac:dyDescent="0.25">
      <c r="A33" s="2"/>
      <c r="B33" s="2" t="s">
        <v>560</v>
      </c>
      <c r="C33" s="3" t="s">
        <v>561</v>
      </c>
      <c r="D33" s="2"/>
      <c r="E33" s="2"/>
      <c r="F33" s="2" t="s">
        <v>488</v>
      </c>
      <c r="G33" s="2" t="s">
        <v>488</v>
      </c>
      <c r="H33" s="2" t="s">
        <v>488</v>
      </c>
      <c r="I33" s="2" t="s">
        <v>488</v>
      </c>
      <c r="J33" s="3" t="s">
        <v>562</v>
      </c>
    </row>
    <row r="34" spans="1:10" x14ac:dyDescent="0.25">
      <c r="A34" s="4"/>
      <c r="B34" s="4" t="s">
        <v>563</v>
      </c>
      <c r="C34" s="5" t="s">
        <v>564</v>
      </c>
      <c r="D34" s="4"/>
      <c r="E34" s="4"/>
      <c r="F34" s="4"/>
      <c r="G34" s="4" t="s">
        <v>488</v>
      </c>
      <c r="H34" s="4" t="s">
        <v>488</v>
      </c>
      <c r="I34" s="4" t="s">
        <v>488</v>
      </c>
      <c r="J34" s="5" t="s">
        <v>565</v>
      </c>
    </row>
    <row r="35" spans="1:10" x14ac:dyDescent="0.25">
      <c r="A35" s="2"/>
      <c r="B35" s="2" t="s">
        <v>566</v>
      </c>
      <c r="C35" s="3" t="s">
        <v>567</v>
      </c>
      <c r="D35" s="2"/>
      <c r="E35" s="2"/>
      <c r="F35" s="2" t="s">
        <v>488</v>
      </c>
      <c r="G35" s="2" t="s">
        <v>488</v>
      </c>
      <c r="H35" s="2" t="s">
        <v>488</v>
      </c>
      <c r="I35" s="2" t="s">
        <v>488</v>
      </c>
      <c r="J35" s="3" t="s">
        <v>568</v>
      </c>
    </row>
    <row r="36" spans="1:10" x14ac:dyDescent="0.25">
      <c r="A36" s="4"/>
      <c r="B36" s="4" t="s">
        <v>569</v>
      </c>
      <c r="C36" s="5" t="s">
        <v>570</v>
      </c>
      <c r="D36" s="4"/>
      <c r="E36" s="4" t="s">
        <v>488</v>
      </c>
      <c r="F36" s="4"/>
      <c r="G36" s="4" t="s">
        <v>488</v>
      </c>
      <c r="H36" s="4" t="s">
        <v>488</v>
      </c>
      <c r="I36" s="4" t="s">
        <v>488</v>
      </c>
      <c r="J36" s="5" t="s">
        <v>571</v>
      </c>
    </row>
    <row r="37" spans="1:10" ht="24" x14ac:dyDescent="0.25">
      <c r="A37" s="2"/>
      <c r="B37" s="2" t="s">
        <v>572</v>
      </c>
      <c r="C37" s="3" t="s">
        <v>573</v>
      </c>
      <c r="D37" s="2"/>
      <c r="E37" s="2"/>
      <c r="F37" s="2"/>
      <c r="G37" s="2" t="s">
        <v>488</v>
      </c>
      <c r="H37" s="2" t="s">
        <v>488</v>
      </c>
      <c r="I37" s="2" t="s">
        <v>488</v>
      </c>
      <c r="J37" s="3" t="s">
        <v>574</v>
      </c>
    </row>
    <row r="38" spans="1:10" x14ac:dyDescent="0.25">
      <c r="A38" s="31" t="s">
        <v>575</v>
      </c>
      <c r="B38" s="32"/>
      <c r="C38" s="32"/>
      <c r="D38" s="32"/>
      <c r="E38" s="32"/>
      <c r="F38" s="32"/>
      <c r="G38" s="32"/>
      <c r="H38" s="32"/>
      <c r="I38" s="32"/>
      <c r="J38" s="32"/>
    </row>
    <row r="39" spans="1:10" x14ac:dyDescent="0.25">
      <c r="A39" s="2"/>
      <c r="B39" s="2" t="s">
        <v>576</v>
      </c>
      <c r="C39" s="3" t="s">
        <v>577</v>
      </c>
      <c r="D39" s="2"/>
      <c r="E39" s="2"/>
      <c r="F39" s="2" t="s">
        <v>488</v>
      </c>
      <c r="G39" s="2" t="s">
        <v>488</v>
      </c>
      <c r="H39" s="2" t="s">
        <v>488</v>
      </c>
      <c r="I39" s="2" t="s">
        <v>488</v>
      </c>
      <c r="J39" s="3" t="s">
        <v>578</v>
      </c>
    </row>
    <row r="40" spans="1:10" x14ac:dyDescent="0.25">
      <c r="A40" s="4"/>
      <c r="B40" s="4" t="s">
        <v>579</v>
      </c>
      <c r="C40" s="5" t="s">
        <v>580</v>
      </c>
      <c r="D40" s="4"/>
      <c r="E40" s="4"/>
      <c r="F40" s="4" t="s">
        <v>488</v>
      </c>
      <c r="G40" s="4" t="s">
        <v>488</v>
      </c>
      <c r="H40" s="4" t="s">
        <v>488</v>
      </c>
      <c r="I40" s="4" t="s">
        <v>488</v>
      </c>
      <c r="J40" s="5" t="s">
        <v>581</v>
      </c>
    </row>
    <row r="41" spans="1:10" x14ac:dyDescent="0.25">
      <c r="A41" s="31" t="s">
        <v>582</v>
      </c>
      <c r="B41" s="32"/>
      <c r="C41" s="32"/>
      <c r="D41" s="32"/>
      <c r="E41" s="32"/>
      <c r="F41" s="32"/>
      <c r="G41" s="32"/>
      <c r="H41" s="32"/>
      <c r="I41" s="32"/>
      <c r="J41" s="32"/>
    </row>
    <row r="42" spans="1:10" x14ac:dyDescent="0.25">
      <c r="A42" s="4"/>
      <c r="B42" s="4" t="s">
        <v>583</v>
      </c>
      <c r="C42" s="5" t="s">
        <v>584</v>
      </c>
      <c r="D42" s="4"/>
      <c r="E42" s="4" t="s">
        <v>488</v>
      </c>
      <c r="F42" s="4"/>
      <c r="G42" s="4"/>
      <c r="H42" s="4" t="s">
        <v>488</v>
      </c>
      <c r="I42" s="4" t="s">
        <v>488</v>
      </c>
      <c r="J42" s="5" t="s">
        <v>585</v>
      </c>
    </row>
    <row r="43" spans="1:10" x14ac:dyDescent="0.25">
      <c r="A43" s="2"/>
      <c r="B43" s="2" t="s">
        <v>586</v>
      </c>
      <c r="C43" s="3" t="s">
        <v>587</v>
      </c>
      <c r="D43" s="2"/>
      <c r="E43" s="2" t="s">
        <v>488</v>
      </c>
      <c r="F43" s="2"/>
      <c r="G43" s="2"/>
      <c r="H43" s="2" t="s">
        <v>488</v>
      </c>
      <c r="I43" s="2" t="s">
        <v>488</v>
      </c>
      <c r="J43" s="3" t="s">
        <v>588</v>
      </c>
    </row>
    <row r="44" spans="1:10" x14ac:dyDescent="0.25">
      <c r="A44" s="4"/>
      <c r="B44" s="4" t="s">
        <v>589</v>
      </c>
      <c r="C44" s="5" t="s">
        <v>590</v>
      </c>
      <c r="D44" s="4"/>
      <c r="E44" s="4"/>
      <c r="F44" s="4"/>
      <c r="G44" s="4"/>
      <c r="H44" s="4" t="s">
        <v>488</v>
      </c>
      <c r="I44" s="4" t="s">
        <v>488</v>
      </c>
      <c r="J44" s="5" t="s">
        <v>591</v>
      </c>
    </row>
    <row r="45" spans="1:10" x14ac:dyDescent="0.25">
      <c r="A45" s="2"/>
      <c r="B45" s="2" t="s">
        <v>592</v>
      </c>
      <c r="C45" s="3" t="s">
        <v>593</v>
      </c>
      <c r="D45" s="2"/>
      <c r="E45" s="2" t="s">
        <v>488</v>
      </c>
      <c r="F45" s="2"/>
      <c r="G45" s="2"/>
      <c r="H45" s="2" t="s">
        <v>488</v>
      </c>
      <c r="I45" s="2" t="s">
        <v>488</v>
      </c>
      <c r="J45" s="3" t="s">
        <v>594</v>
      </c>
    </row>
    <row r="46" spans="1:10" x14ac:dyDescent="0.25">
      <c r="A46" s="4"/>
      <c r="B46" s="4" t="s">
        <v>595</v>
      </c>
      <c r="C46" s="5" t="s">
        <v>596</v>
      </c>
      <c r="D46" s="4"/>
      <c r="E46" s="4"/>
      <c r="F46" s="4"/>
      <c r="G46" s="4"/>
      <c r="H46" s="4" t="s">
        <v>488</v>
      </c>
      <c r="I46" s="4" t="s">
        <v>488</v>
      </c>
      <c r="J46" s="5" t="s">
        <v>597</v>
      </c>
    </row>
    <row r="47" spans="1:10" x14ac:dyDescent="0.25">
      <c r="A47" s="2"/>
      <c r="B47" s="2" t="s">
        <v>598</v>
      </c>
      <c r="C47" s="3" t="s">
        <v>599</v>
      </c>
      <c r="D47" s="2"/>
      <c r="E47" s="2"/>
      <c r="F47" s="2"/>
      <c r="G47" s="2"/>
      <c r="H47" s="2" t="s">
        <v>488</v>
      </c>
      <c r="I47" s="2" t="s">
        <v>488</v>
      </c>
      <c r="J47" s="3" t="s">
        <v>600</v>
      </c>
    </row>
    <row r="48" spans="1:10" x14ac:dyDescent="0.25">
      <c r="A48" s="31" t="s">
        <v>601</v>
      </c>
      <c r="B48" s="32"/>
      <c r="C48" s="32"/>
      <c r="D48" s="32"/>
      <c r="E48" s="32"/>
      <c r="F48" s="32"/>
      <c r="G48" s="32"/>
      <c r="H48" s="32"/>
      <c r="I48" s="32"/>
      <c r="J48" s="32"/>
    </row>
    <row r="49" spans="1:10" x14ac:dyDescent="0.25">
      <c r="A49" s="2"/>
      <c r="B49" s="2" t="s">
        <v>602</v>
      </c>
      <c r="C49" s="3" t="s">
        <v>603</v>
      </c>
      <c r="D49" s="2"/>
      <c r="E49" s="2"/>
      <c r="F49" s="2"/>
      <c r="G49" s="2" t="s">
        <v>488</v>
      </c>
      <c r="H49" s="2" t="s">
        <v>488</v>
      </c>
      <c r="I49" s="2" t="s">
        <v>488</v>
      </c>
      <c r="J49" s="3" t="s">
        <v>604</v>
      </c>
    </row>
    <row r="50" spans="1:10" x14ac:dyDescent="0.25">
      <c r="A50" s="4"/>
      <c r="B50" s="4" t="s">
        <v>605</v>
      </c>
      <c r="C50" s="5" t="s">
        <v>606</v>
      </c>
      <c r="D50" s="4"/>
      <c r="E50" s="4"/>
      <c r="F50" s="4"/>
      <c r="G50" s="4" t="s">
        <v>488</v>
      </c>
      <c r="H50" s="4" t="s">
        <v>488</v>
      </c>
      <c r="I50" s="4" t="s">
        <v>488</v>
      </c>
      <c r="J50" s="5" t="s">
        <v>607</v>
      </c>
    </row>
    <row r="51" spans="1:10" x14ac:dyDescent="0.25">
      <c r="A51" s="2"/>
      <c r="B51" s="2" t="s">
        <v>608</v>
      </c>
      <c r="C51" s="3" t="s">
        <v>609</v>
      </c>
      <c r="D51" s="2"/>
      <c r="E51" s="2"/>
      <c r="F51" s="2"/>
      <c r="G51" s="2" t="s">
        <v>488</v>
      </c>
      <c r="H51" s="2" t="s">
        <v>488</v>
      </c>
      <c r="I51" s="2" t="s">
        <v>488</v>
      </c>
      <c r="J51" s="3" t="s">
        <v>610</v>
      </c>
    </row>
    <row r="52" spans="1:10" ht="24" x14ac:dyDescent="0.25">
      <c r="A52" s="4"/>
      <c r="B52" s="4" t="s">
        <v>611</v>
      </c>
      <c r="C52" s="5" t="s">
        <v>612</v>
      </c>
      <c r="D52" s="4"/>
      <c r="E52" s="4"/>
      <c r="F52" s="4"/>
      <c r="G52" s="4" t="s">
        <v>488</v>
      </c>
      <c r="H52" s="4" t="s">
        <v>488</v>
      </c>
      <c r="I52" s="4" t="s">
        <v>488</v>
      </c>
      <c r="J52" s="5" t="s">
        <v>613</v>
      </c>
    </row>
    <row r="53" spans="1:10" ht="24" x14ac:dyDescent="0.25">
      <c r="A53" s="2"/>
      <c r="B53" s="2" t="s">
        <v>614</v>
      </c>
      <c r="C53" s="3" t="s">
        <v>615</v>
      </c>
      <c r="D53" s="2"/>
      <c r="E53" s="2"/>
      <c r="F53" s="2" t="s">
        <v>488</v>
      </c>
      <c r="G53" s="2" t="s">
        <v>488</v>
      </c>
      <c r="H53" s="2" t="s">
        <v>488</v>
      </c>
      <c r="I53" s="2" t="s">
        <v>488</v>
      </c>
      <c r="J53" s="3" t="s">
        <v>616</v>
      </c>
    </row>
    <row r="54" spans="1:10" x14ac:dyDescent="0.25">
      <c r="A54" s="4"/>
      <c r="B54" s="4" t="s">
        <v>617</v>
      </c>
      <c r="C54" s="5" t="s">
        <v>618</v>
      </c>
      <c r="D54" s="4"/>
      <c r="E54" s="4" t="s">
        <v>488</v>
      </c>
      <c r="F54" s="4" t="s">
        <v>488</v>
      </c>
      <c r="G54" s="4" t="s">
        <v>488</v>
      </c>
      <c r="H54" s="4" t="s">
        <v>488</v>
      </c>
      <c r="I54" s="4" t="s">
        <v>488</v>
      </c>
      <c r="J54" s="5" t="s">
        <v>619</v>
      </c>
    </row>
    <row r="55" spans="1:10" ht="24" x14ac:dyDescent="0.25">
      <c r="A55" s="2"/>
      <c r="B55" s="2" t="s">
        <v>620</v>
      </c>
      <c r="C55" s="3" t="s">
        <v>621</v>
      </c>
      <c r="D55" s="2"/>
      <c r="E55" s="2"/>
      <c r="F55" s="2" t="s">
        <v>488</v>
      </c>
      <c r="G55" s="2" t="s">
        <v>488</v>
      </c>
      <c r="H55" s="2" t="s">
        <v>488</v>
      </c>
      <c r="I55" s="2" t="s">
        <v>488</v>
      </c>
      <c r="J55" s="3" t="s">
        <v>622</v>
      </c>
    </row>
    <row r="56" spans="1:10" ht="24" x14ac:dyDescent="0.25">
      <c r="A56" s="4"/>
      <c r="B56" s="4" t="s">
        <v>623</v>
      </c>
      <c r="C56" s="5" t="s">
        <v>624</v>
      </c>
      <c r="D56" s="4"/>
      <c r="E56" s="4" t="s">
        <v>488</v>
      </c>
      <c r="F56" s="4"/>
      <c r="G56" s="4" t="s">
        <v>488</v>
      </c>
      <c r="H56" s="4" t="s">
        <v>488</v>
      </c>
      <c r="I56" s="4" t="s">
        <v>488</v>
      </c>
      <c r="J56" s="5" t="s">
        <v>625</v>
      </c>
    </row>
    <row r="57" spans="1:10" x14ac:dyDescent="0.25">
      <c r="A57" s="31" t="s">
        <v>626</v>
      </c>
      <c r="B57" s="32"/>
      <c r="C57" s="32"/>
      <c r="D57" s="32"/>
      <c r="E57" s="32"/>
      <c r="F57" s="32"/>
      <c r="G57" s="32"/>
      <c r="H57" s="32"/>
      <c r="I57" s="32"/>
      <c r="J57" s="32"/>
    </row>
    <row r="58" spans="1:10" ht="24" x14ac:dyDescent="0.25">
      <c r="A58" s="4"/>
      <c r="B58" s="4" t="s">
        <v>627</v>
      </c>
      <c r="C58" s="5" t="s">
        <v>628</v>
      </c>
      <c r="D58" s="4"/>
      <c r="E58" s="4" t="s">
        <v>488</v>
      </c>
      <c r="F58" s="4"/>
      <c r="G58" s="4" t="s">
        <v>488</v>
      </c>
      <c r="H58" s="4" t="s">
        <v>488</v>
      </c>
      <c r="I58" s="4" t="s">
        <v>488</v>
      </c>
      <c r="J58" s="5" t="s">
        <v>629</v>
      </c>
    </row>
    <row r="59" spans="1:10" x14ac:dyDescent="0.25">
      <c r="A59" s="2"/>
      <c r="B59" s="2" t="s">
        <v>630</v>
      </c>
      <c r="C59" s="3" t="s">
        <v>631</v>
      </c>
      <c r="D59" s="2"/>
      <c r="E59" s="2" t="s">
        <v>488</v>
      </c>
      <c r="F59" s="2"/>
      <c r="G59" s="2" t="s">
        <v>488</v>
      </c>
      <c r="H59" s="2" t="s">
        <v>488</v>
      </c>
      <c r="I59" s="2" t="s">
        <v>488</v>
      </c>
      <c r="J59" s="3" t="s">
        <v>632</v>
      </c>
    </row>
    <row r="60" spans="1:10" x14ac:dyDescent="0.25">
      <c r="A60" s="4"/>
      <c r="B60" s="4" t="s">
        <v>633</v>
      </c>
      <c r="C60" s="5" t="s">
        <v>634</v>
      </c>
      <c r="D60" s="4"/>
      <c r="E60" s="4"/>
      <c r="F60" s="4" t="s">
        <v>488</v>
      </c>
      <c r="G60" s="4" t="s">
        <v>488</v>
      </c>
      <c r="H60" s="4" t="s">
        <v>488</v>
      </c>
      <c r="I60" s="4" t="s">
        <v>488</v>
      </c>
      <c r="J60" s="5" t="s">
        <v>635</v>
      </c>
    </row>
    <row r="61" spans="1:10" ht="24" x14ac:dyDescent="0.25">
      <c r="A61" s="2"/>
      <c r="B61" s="2" t="s">
        <v>636</v>
      </c>
      <c r="C61" s="3" t="s">
        <v>637</v>
      </c>
      <c r="D61" s="2"/>
      <c r="E61" s="2"/>
      <c r="F61" s="2" t="s">
        <v>488</v>
      </c>
      <c r="G61" s="2" t="s">
        <v>488</v>
      </c>
      <c r="H61" s="2" t="s">
        <v>488</v>
      </c>
      <c r="I61" s="2"/>
      <c r="J61" s="3" t="s">
        <v>638</v>
      </c>
    </row>
    <row r="62" spans="1:10" x14ac:dyDescent="0.25">
      <c r="A62" s="31" t="s">
        <v>639</v>
      </c>
      <c r="B62" s="32"/>
      <c r="C62" s="32"/>
      <c r="D62" s="32"/>
      <c r="E62" s="32"/>
      <c r="F62" s="32"/>
      <c r="G62" s="32"/>
      <c r="H62" s="32"/>
      <c r="I62" s="32"/>
      <c r="J62" s="32"/>
    </row>
    <row r="63" spans="1:10" ht="24" x14ac:dyDescent="0.25">
      <c r="A63" s="2"/>
      <c r="B63" s="2" t="s">
        <v>640</v>
      </c>
      <c r="C63" s="3" t="s">
        <v>641</v>
      </c>
      <c r="D63" s="2"/>
      <c r="E63" s="2"/>
      <c r="F63" s="2"/>
      <c r="G63" s="2" t="s">
        <v>488</v>
      </c>
      <c r="H63" s="2" t="s">
        <v>488</v>
      </c>
      <c r="I63" s="2" t="s">
        <v>488</v>
      </c>
      <c r="J63" s="3" t="s">
        <v>642</v>
      </c>
    </row>
    <row r="64" spans="1:10" x14ac:dyDescent="0.25">
      <c r="A64" s="4"/>
      <c r="B64" s="4" t="s">
        <v>643</v>
      </c>
      <c r="C64" s="5" t="s">
        <v>644</v>
      </c>
      <c r="D64" s="4"/>
      <c r="E64" s="4"/>
      <c r="F64" s="4"/>
      <c r="G64" s="4" t="s">
        <v>488</v>
      </c>
      <c r="H64" s="4" t="s">
        <v>488</v>
      </c>
      <c r="I64" s="4" t="s">
        <v>488</v>
      </c>
      <c r="J64" s="5" t="s">
        <v>645</v>
      </c>
    </row>
    <row r="65" spans="1:10" x14ac:dyDescent="0.25">
      <c r="A65" s="2"/>
      <c r="B65" s="2" t="s">
        <v>646</v>
      </c>
      <c r="C65" s="3" t="s">
        <v>647</v>
      </c>
      <c r="D65" s="2"/>
      <c r="E65" s="2" t="s">
        <v>488</v>
      </c>
      <c r="F65" s="2"/>
      <c r="G65" s="2" t="s">
        <v>488</v>
      </c>
      <c r="H65" s="2" t="s">
        <v>488</v>
      </c>
      <c r="I65" s="2" t="s">
        <v>488</v>
      </c>
      <c r="J65" s="3" t="s">
        <v>648</v>
      </c>
    </row>
    <row r="66" spans="1:10" x14ac:dyDescent="0.25">
      <c r="A66" s="31" t="s">
        <v>649</v>
      </c>
      <c r="B66" s="32"/>
      <c r="C66" s="32"/>
      <c r="D66" s="32"/>
      <c r="E66" s="32"/>
      <c r="F66" s="32"/>
      <c r="G66" s="32"/>
      <c r="H66" s="32"/>
      <c r="I66" s="32"/>
      <c r="J66" s="32"/>
    </row>
    <row r="67" spans="1:10" ht="24" x14ac:dyDescent="0.25">
      <c r="A67" s="2"/>
      <c r="B67" s="2" t="s">
        <v>650</v>
      </c>
      <c r="C67" s="3" t="s">
        <v>651</v>
      </c>
      <c r="D67" s="2"/>
      <c r="E67" s="2"/>
      <c r="F67" s="2" t="s">
        <v>488</v>
      </c>
      <c r="G67" s="2" t="s">
        <v>488</v>
      </c>
      <c r="H67" s="2" t="s">
        <v>488</v>
      </c>
      <c r="I67" s="2" t="s">
        <v>488</v>
      </c>
      <c r="J67" s="3" t="s">
        <v>652</v>
      </c>
    </row>
    <row r="68" spans="1:10" x14ac:dyDescent="0.25">
      <c r="A68" s="4"/>
      <c r="B68" s="4" t="s">
        <v>653</v>
      </c>
      <c r="C68" s="5" t="s">
        <v>654</v>
      </c>
      <c r="D68" s="4"/>
      <c r="E68" s="4"/>
      <c r="F68" s="4" t="s">
        <v>488</v>
      </c>
      <c r="G68" s="4" t="s">
        <v>488</v>
      </c>
      <c r="H68" s="4" t="s">
        <v>488</v>
      </c>
      <c r="I68" s="4" t="s">
        <v>488</v>
      </c>
      <c r="J68" s="5" t="s">
        <v>655</v>
      </c>
    </row>
    <row r="69" spans="1:10" x14ac:dyDescent="0.25">
      <c r="A69" s="2"/>
      <c r="B69" s="2" t="s">
        <v>656</v>
      </c>
      <c r="C69" s="3" t="s">
        <v>657</v>
      </c>
      <c r="D69" s="2"/>
      <c r="E69" s="2"/>
      <c r="F69" s="2" t="s">
        <v>488</v>
      </c>
      <c r="G69" s="2" t="s">
        <v>488</v>
      </c>
      <c r="H69" s="2" t="s">
        <v>488</v>
      </c>
      <c r="I69" s="2" t="s">
        <v>488</v>
      </c>
      <c r="J69" s="3" t="s">
        <v>658</v>
      </c>
    </row>
    <row r="70" spans="1:10" x14ac:dyDescent="0.25">
      <c r="A70" s="31" t="s">
        <v>659</v>
      </c>
      <c r="B70" s="32"/>
      <c r="C70" s="32"/>
      <c r="D70" s="32"/>
      <c r="E70" s="32"/>
      <c r="F70" s="32"/>
      <c r="G70" s="32"/>
      <c r="H70" s="32"/>
      <c r="I70" s="32"/>
      <c r="J70" s="32"/>
    </row>
    <row r="71" spans="1:10" ht="24" x14ac:dyDescent="0.25">
      <c r="A71" s="2"/>
      <c r="B71" s="2" t="s">
        <v>660</v>
      </c>
      <c r="C71" s="3" t="s">
        <v>661</v>
      </c>
      <c r="D71" s="2"/>
      <c r="E71" s="2"/>
      <c r="F71" s="2" t="s">
        <v>488</v>
      </c>
      <c r="G71" s="2" t="s">
        <v>488</v>
      </c>
      <c r="H71" s="2" t="s">
        <v>488</v>
      </c>
      <c r="I71" s="2" t="s">
        <v>488</v>
      </c>
      <c r="J71" s="3" t="s">
        <v>662</v>
      </c>
    </row>
    <row r="72" spans="1:10" ht="24" x14ac:dyDescent="0.25">
      <c r="A72" s="4"/>
      <c r="B72" s="4" t="s">
        <v>663</v>
      </c>
      <c r="C72" s="5" t="s">
        <v>664</v>
      </c>
      <c r="D72" s="4"/>
      <c r="E72" s="4"/>
      <c r="F72" s="4" t="s">
        <v>488</v>
      </c>
      <c r="G72" s="4" t="s">
        <v>488</v>
      </c>
      <c r="H72" s="4" t="s">
        <v>488</v>
      </c>
      <c r="I72" s="4" t="s">
        <v>488</v>
      </c>
      <c r="J72" s="5" t="s">
        <v>665</v>
      </c>
    </row>
    <row r="73" spans="1:10" ht="24" x14ac:dyDescent="0.25">
      <c r="A73" s="2"/>
      <c r="B73" s="2" t="s">
        <v>666</v>
      </c>
      <c r="C73" s="3" t="s">
        <v>667</v>
      </c>
      <c r="D73" s="2"/>
      <c r="E73" s="2" t="s">
        <v>488</v>
      </c>
      <c r="F73" s="2"/>
      <c r="G73" s="2" t="s">
        <v>488</v>
      </c>
      <c r="H73" s="2" t="s">
        <v>488</v>
      </c>
      <c r="I73" s="2" t="s">
        <v>488</v>
      </c>
      <c r="J73" s="3" t="s">
        <v>668</v>
      </c>
    </row>
    <row r="74" spans="1:10" x14ac:dyDescent="0.25">
      <c r="A74" s="31" t="s">
        <v>669</v>
      </c>
      <c r="B74" s="32"/>
      <c r="C74" s="32"/>
      <c r="D74" s="32"/>
      <c r="E74" s="32"/>
      <c r="F74" s="32"/>
      <c r="G74" s="32"/>
      <c r="H74" s="32"/>
      <c r="I74" s="32"/>
      <c r="J74" s="32"/>
    </row>
    <row r="75" spans="1:10" ht="24" x14ac:dyDescent="0.25">
      <c r="A75" s="2"/>
      <c r="B75" s="2" t="s">
        <v>670</v>
      </c>
      <c r="C75" s="3" t="s">
        <v>671</v>
      </c>
      <c r="D75" s="2"/>
      <c r="E75" s="2"/>
      <c r="F75" s="2" t="s">
        <v>488</v>
      </c>
      <c r="G75" s="2" t="s">
        <v>488</v>
      </c>
      <c r="H75" s="2" t="s">
        <v>488</v>
      </c>
      <c r="I75" s="2" t="s">
        <v>488</v>
      </c>
      <c r="J75" s="3" t="s">
        <v>672</v>
      </c>
    </row>
    <row r="76" spans="1:10" ht="24" x14ac:dyDescent="0.25">
      <c r="A76" s="4"/>
      <c r="B76" s="4" t="s">
        <v>673</v>
      </c>
      <c r="C76" s="5" t="s">
        <v>674</v>
      </c>
      <c r="D76" s="4"/>
      <c r="E76" s="4"/>
      <c r="F76" s="4" t="s">
        <v>488</v>
      </c>
      <c r="G76" s="4" t="s">
        <v>488</v>
      </c>
      <c r="H76" s="4" t="s">
        <v>488</v>
      </c>
      <c r="I76" s="4" t="s">
        <v>488</v>
      </c>
      <c r="J76" s="5" t="s">
        <v>675</v>
      </c>
    </row>
    <row r="77" spans="1:10" ht="24" x14ac:dyDescent="0.25">
      <c r="A77" s="2"/>
      <c r="B77" s="2" t="s">
        <v>676</v>
      </c>
      <c r="C77" s="3" t="s">
        <v>677</v>
      </c>
      <c r="D77" s="2"/>
      <c r="E77" s="2"/>
      <c r="F77" s="2" t="s">
        <v>488</v>
      </c>
      <c r="G77" s="2" t="s">
        <v>488</v>
      </c>
      <c r="H77" s="2" t="s">
        <v>488</v>
      </c>
      <c r="I77" s="2" t="s">
        <v>488</v>
      </c>
      <c r="J77" s="3" t="s">
        <v>678</v>
      </c>
    </row>
    <row r="78" spans="1:10" ht="24" x14ac:dyDescent="0.25">
      <c r="A78" s="4"/>
      <c r="B78" s="4" t="s">
        <v>679</v>
      </c>
      <c r="C78" s="5" t="s">
        <v>680</v>
      </c>
      <c r="D78" s="4"/>
      <c r="E78" s="4"/>
      <c r="F78" s="4"/>
      <c r="G78" s="4" t="s">
        <v>488</v>
      </c>
      <c r="H78" s="4" t="s">
        <v>488</v>
      </c>
      <c r="I78" s="4" t="s">
        <v>488</v>
      </c>
      <c r="J78" s="5" t="s">
        <v>681</v>
      </c>
    </row>
    <row r="80" spans="1:10" x14ac:dyDescent="0.25">
      <c r="A80" s="70" t="s">
        <v>682</v>
      </c>
      <c r="B80" s="32"/>
      <c r="C80" s="32"/>
      <c r="D80" s="32"/>
      <c r="E80" s="32"/>
      <c r="F80" s="32"/>
      <c r="G80" s="32"/>
      <c r="H80" s="32"/>
      <c r="I80" s="32"/>
      <c r="J80" s="32"/>
    </row>
  </sheetData>
  <mergeCells count="16">
    <mergeCell ref="A48:J48"/>
    <mergeCell ref="A1:J1"/>
    <mergeCell ref="A38:J38"/>
    <mergeCell ref="A80:J80"/>
    <mergeCell ref="A15:J15"/>
    <mergeCell ref="A62:J62"/>
    <mergeCell ref="A41:J41"/>
    <mergeCell ref="A57:J57"/>
    <mergeCell ref="A22:J22"/>
    <mergeCell ref="A70:J70"/>
    <mergeCell ref="A30:J30"/>
    <mergeCell ref="A5:J5"/>
    <mergeCell ref="A8:J8"/>
    <mergeCell ref="A66:J66"/>
    <mergeCell ref="A74:J7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 DE ACTIVOS</vt:lpstr>
      <vt:lpstr>AMENAZAS</vt:lpstr>
      <vt:lpstr>HOJA CALCULO RIESGOS</vt:lpstr>
      <vt:lpstr>ENUNCIADO DE APLICABILIDAD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Meléndez</cp:lastModifiedBy>
  <dcterms:created xsi:type="dcterms:W3CDTF">2026-05-19T01:00:57Z</dcterms:created>
  <dcterms:modified xsi:type="dcterms:W3CDTF">2026-06-16T19:50:19Z</dcterms:modified>
</cp:coreProperties>
</file>